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6440" activeTab="4"/>
  </bookViews>
  <sheets>
    <sheet name="sumif" sheetId="1" r:id="rId1"/>
    <sheet name="Sheet2" sheetId="3" r:id="rId2"/>
    <sheet name="invoice" sheetId="6" r:id="rId3"/>
    <sheet name="Sheet3" sheetId="7" r:id="rId4"/>
    <sheet name="Sheet1" sheetId="8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7" l="1"/>
  <c r="AE2" i="7"/>
  <c r="N3" i="7" l="1"/>
  <c r="V50" i="7"/>
  <c r="W50" i="7"/>
  <c r="X50" i="7"/>
  <c r="Y50" i="7"/>
  <c r="Z50" i="7"/>
  <c r="AA50" i="7"/>
  <c r="AB50" i="7"/>
  <c r="U50" i="7"/>
  <c r="V45" i="7"/>
  <c r="W45" i="7"/>
  <c r="X45" i="7"/>
  <c r="Y45" i="7"/>
  <c r="Z45" i="7"/>
  <c r="AA45" i="7"/>
  <c r="AB45" i="7"/>
  <c r="U45" i="7"/>
  <c r="U17" i="7"/>
  <c r="U10" i="7"/>
  <c r="U40" i="7"/>
  <c r="U30" i="7"/>
  <c r="U35" i="7"/>
  <c r="U28" i="7"/>
  <c r="U23" i="7"/>
  <c r="U20" i="7" l="1"/>
  <c r="V17" i="7"/>
  <c r="W17" i="7"/>
  <c r="X17" i="7"/>
  <c r="Y17" i="7"/>
  <c r="Z17" i="7"/>
  <c r="AA17" i="7"/>
  <c r="AB17" i="7"/>
  <c r="AB10" i="7" l="1"/>
  <c r="AA10" i="7"/>
  <c r="Z10" i="7"/>
  <c r="Y10" i="7"/>
  <c r="X10" i="7"/>
  <c r="W10" i="7"/>
  <c r="V10" i="7"/>
  <c r="U13" i="7"/>
  <c r="AC6" i="7"/>
  <c r="W6" i="7"/>
  <c r="X6" i="7"/>
  <c r="Y6" i="7"/>
  <c r="Z6" i="7"/>
  <c r="AA6" i="7"/>
  <c r="AB6" i="7"/>
  <c r="V6" i="7"/>
  <c r="R6" i="7"/>
  <c r="R7" i="7"/>
  <c r="R8" i="7"/>
  <c r="R5" i="7"/>
  <c r="Q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2" i="7"/>
  <c r="O3" i="7"/>
  <c r="M3" i="7"/>
  <c r="L3" i="7" l="1"/>
  <c r="H26" i="6" l="1"/>
  <c r="G27" i="6"/>
  <c r="C29" i="6"/>
  <c r="G28" i="6"/>
  <c r="G29" i="6" s="1"/>
  <c r="E28" i="6"/>
  <c r="H28" i="6" s="1"/>
  <c r="H15" i="6"/>
  <c r="E27" i="6"/>
  <c r="H27" i="6" s="1"/>
  <c r="E26" i="6"/>
  <c r="E29" i="6" s="1"/>
  <c r="G26" i="6"/>
  <c r="H17" i="6"/>
  <c r="H16" i="6"/>
  <c r="F6" i="6"/>
  <c r="H13" i="6"/>
  <c r="H12" i="6"/>
  <c r="H11" i="6"/>
  <c r="F3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5" i="3"/>
  <c r="I28" i="1"/>
  <c r="I29" i="1"/>
  <c r="I30" i="1"/>
  <c r="I31" i="1"/>
  <c r="I32" i="1"/>
  <c r="I33" i="1"/>
  <c r="I34" i="1"/>
  <c r="I27" i="1"/>
  <c r="I20" i="1"/>
  <c r="I21" i="1"/>
  <c r="I22" i="1"/>
  <c r="I23" i="1"/>
  <c r="I24" i="1"/>
  <c r="I25" i="1"/>
  <c r="I26" i="1"/>
  <c r="I19" i="1"/>
  <c r="I12" i="1"/>
  <c r="I13" i="1"/>
  <c r="I14" i="1"/>
  <c r="I15" i="1"/>
  <c r="I16" i="1"/>
  <c r="I17" i="1"/>
  <c r="I18" i="1"/>
  <c r="J10" i="1" s="1"/>
  <c r="I11" i="1"/>
  <c r="J3" i="1" s="1"/>
  <c r="I5" i="1"/>
  <c r="J5" i="1" s="1"/>
  <c r="I6" i="1"/>
  <c r="J6" i="1" s="1"/>
  <c r="I7" i="1"/>
  <c r="J7" i="1" s="1"/>
  <c r="I8" i="1"/>
  <c r="J8" i="1" s="1"/>
  <c r="I9" i="1"/>
  <c r="J9" i="1" s="1"/>
  <c r="I10" i="1"/>
  <c r="I3" i="1"/>
  <c r="G4" i="1"/>
  <c r="I4" i="1" s="1"/>
  <c r="J4" i="1" s="1"/>
  <c r="F15" i="6" l="1"/>
  <c r="H22" i="6"/>
  <c r="H29" i="6"/>
  <c r="F11" i="6"/>
</calcChain>
</file>

<file path=xl/sharedStrings.xml><?xml version="1.0" encoding="utf-8"?>
<sst xmlns="http://schemas.openxmlformats.org/spreadsheetml/2006/main" count="1308" uniqueCount="349">
  <si>
    <t>Product no.</t>
  </si>
  <si>
    <t>Date</t>
  </si>
  <si>
    <t>Sales</t>
  </si>
  <si>
    <t>Purchase</t>
  </si>
  <si>
    <t>Dealer</t>
  </si>
  <si>
    <t>Product In Store</t>
  </si>
  <si>
    <t>Rate Per Peace</t>
  </si>
  <si>
    <t>Pr1234</t>
  </si>
  <si>
    <t>Pr1235</t>
  </si>
  <si>
    <t>Pr1236</t>
  </si>
  <si>
    <t>Pr1237</t>
  </si>
  <si>
    <t>Pr1241</t>
  </si>
  <si>
    <t>Red sand</t>
  </si>
  <si>
    <t>Steel Rod</t>
  </si>
  <si>
    <t>Total Sales</t>
  </si>
  <si>
    <t>Comode ,Indian Sheet ,Sink ,Basin</t>
  </si>
  <si>
    <t>Hand Spray ,Jet Spray</t>
  </si>
  <si>
    <t>Iron Rod</t>
  </si>
  <si>
    <t>JK Super Cement, Clips</t>
  </si>
  <si>
    <t>White Cement,Putty,Altra Red Color</t>
  </si>
  <si>
    <t>Stainless Steel Taps,Shower,Brass Connecter</t>
  </si>
  <si>
    <t>S.S. AGGRAWAL</t>
  </si>
  <si>
    <t>Quantity</t>
  </si>
  <si>
    <t>Pr1238</t>
  </si>
  <si>
    <t>Pr1239</t>
  </si>
  <si>
    <t>Pr1240</t>
  </si>
  <si>
    <t>21-082025</t>
  </si>
  <si>
    <t>(Sales)</t>
  </si>
  <si>
    <t>MADALSHA AND SONS HARDWARE TRADING PVT LTD</t>
  </si>
  <si>
    <t>SANKATMOCHAN TRADERS</t>
  </si>
  <si>
    <t>QTY</t>
  </si>
  <si>
    <t>RATES</t>
  </si>
  <si>
    <t>Raja Ratan Singh</t>
  </si>
  <si>
    <t>RED MARBLE</t>
  </si>
  <si>
    <t>Vishal Singh</t>
  </si>
  <si>
    <t>GREY GRANITE</t>
  </si>
  <si>
    <t xml:space="preserve">Renu Yadav </t>
  </si>
  <si>
    <t>STAINLESS STEEL TAPS</t>
  </si>
  <si>
    <t>Kritika Singh</t>
  </si>
  <si>
    <t>CONNECTION PIPE</t>
  </si>
  <si>
    <t xml:space="preserve"> Rahul Maurya</t>
  </si>
  <si>
    <t>IRON NAILS</t>
  </si>
  <si>
    <t>Vishal Tyagi</t>
  </si>
  <si>
    <t>Hardic Singh</t>
  </si>
  <si>
    <t>TWIN BROTHER TAPS</t>
  </si>
  <si>
    <t>M/S Shiva Foundation</t>
  </si>
  <si>
    <t>KAJARIA TILES 2/2</t>
  </si>
  <si>
    <t>Ramu enterprises</t>
  </si>
  <si>
    <t>BLACK GRANITE</t>
  </si>
  <si>
    <t>Abc Texttile Industries</t>
  </si>
  <si>
    <t>RED GRANITE</t>
  </si>
  <si>
    <t>Ronic Thakur</t>
  </si>
  <si>
    <t>NOSSELE</t>
  </si>
  <si>
    <t>Divya Store</t>
  </si>
  <si>
    <t xml:space="preserve"> IRON NAILS</t>
  </si>
  <si>
    <t>Sujata Textile PVT LTD</t>
  </si>
  <si>
    <t>STEEL CHINA NAILS</t>
  </si>
  <si>
    <t>Shiv Tile and Marble</t>
  </si>
  <si>
    <t>LARRISH COMODE 512</t>
  </si>
  <si>
    <t>Kritaka singh</t>
  </si>
  <si>
    <t>Surendar yadav</t>
  </si>
  <si>
    <t>BERGER PAINTS 20 LTR</t>
  </si>
  <si>
    <t>Manoj Upadhayay</t>
  </si>
  <si>
    <t>SHAMS BASIN</t>
  </si>
  <si>
    <t>Shiv Hardware</t>
  </si>
  <si>
    <t>STEEL PIPE</t>
  </si>
  <si>
    <t xml:space="preserve"> Sunil Kumar Mishra </t>
  </si>
  <si>
    <t>PVC PIPE 4 INCH</t>
  </si>
  <si>
    <t>Parvati And Son's</t>
  </si>
  <si>
    <t>ASSIAN PAINTS STEENER</t>
  </si>
  <si>
    <t>Sumit Texttile</t>
  </si>
  <si>
    <t>MARCO TILES</t>
  </si>
  <si>
    <t>Guddu tiwari</t>
  </si>
  <si>
    <t>SUJATA PIPES</t>
  </si>
  <si>
    <t>Subash gupta</t>
  </si>
  <si>
    <t>Rani Yadav</t>
  </si>
  <si>
    <t>TATA STEEL SINKS</t>
  </si>
  <si>
    <t>Neha Enterprises</t>
  </si>
  <si>
    <t>CONNECTION PIPES</t>
  </si>
  <si>
    <t>Sumit Chaursiya</t>
  </si>
  <si>
    <t>vaibhav Sharma</t>
  </si>
  <si>
    <t>ASSIAN PAINTS 25 LTR</t>
  </si>
  <si>
    <t>Sunil Kumar</t>
  </si>
  <si>
    <t>PAINT BRUSH SIZE 2</t>
  </si>
  <si>
    <t>Pappu Yadv</t>
  </si>
  <si>
    <t>TOTAL</t>
  </si>
  <si>
    <t>CUSTOMER DETAILS</t>
  </si>
  <si>
    <t>Sr. No.</t>
  </si>
  <si>
    <t>CUSTOMERS NAME</t>
  </si>
  <si>
    <t>ITEMS</t>
  </si>
  <si>
    <t>AMOUNT</t>
  </si>
  <si>
    <t>Neha Const. Company</t>
  </si>
  <si>
    <t xml:space="preserve">ASSIAN WHITE CEMMENT </t>
  </si>
  <si>
    <t>SHAMS  BATHROOM SHEET</t>
  </si>
  <si>
    <r>
      <t xml:space="preserve">                                   
</t>
    </r>
    <r>
      <rPr>
        <b/>
        <sz val="12"/>
        <color theme="0"/>
        <rFont val="Aptos Narrow"/>
        <family val="2"/>
        <scheme val="minor"/>
      </rPr>
      <t>SANKAT  MOCHAN TRADING COMPANY PROVIDE BEST DEALS</t>
    </r>
    <r>
      <rPr>
        <b/>
        <sz val="11"/>
        <color theme="0"/>
        <rFont val="Aptos Narrow"/>
        <family val="2"/>
        <scheme val="minor"/>
      </rPr>
      <t xml:space="preserve">
   CONTACT NO.-7651829694  </t>
    </r>
  </si>
  <si>
    <t>SALE INVOICE</t>
  </si>
  <si>
    <r>
      <t>Party:</t>
    </r>
    <r>
      <rPr>
        <b/>
        <sz val="11"/>
        <color theme="1"/>
        <rFont val="Aptos Narrow"/>
        <family val="2"/>
        <scheme val="minor"/>
      </rPr>
      <t>JAISHANKAR SINGH</t>
    </r>
    <r>
      <rPr>
        <sz val="11"/>
        <color theme="1"/>
        <rFont val="Aptos Narrow"/>
        <family val="2"/>
        <scheme val="minor"/>
      </rPr>
      <t xml:space="preserve">
            Rampur Ghazipur 
 Mob. No.-7651829694</t>
    </r>
  </si>
  <si>
    <r>
      <t>State Name-</t>
    </r>
    <r>
      <rPr>
        <b/>
        <sz val="11"/>
        <color theme="1"/>
        <rFont val="Aptos Narrow"/>
        <family val="2"/>
        <scheme val="minor"/>
      </rPr>
      <t>UTTAR PRADESH</t>
    </r>
  </si>
  <si>
    <t>Sr.No.</t>
  </si>
  <si>
    <t>Description Of Goods</t>
  </si>
  <si>
    <t>HSN/SAC</t>
  </si>
  <si>
    <t>Rate</t>
  </si>
  <si>
    <t>Rate
(Incl.of Tax)</t>
  </si>
  <si>
    <t xml:space="preserve">Amount </t>
  </si>
  <si>
    <r>
      <t xml:space="preserve">AMAZE 1475 SUPER CHARGE
</t>
    </r>
    <r>
      <rPr>
        <sz val="11"/>
        <color theme="1"/>
        <rFont val="Aptos Narrow"/>
        <family val="2"/>
        <scheme val="minor"/>
      </rPr>
      <t>36 Month Warranty
H7PGGYB1215789</t>
    </r>
  </si>
  <si>
    <t>Qty</t>
  </si>
  <si>
    <t>Gst</t>
  </si>
  <si>
    <r>
      <t xml:space="preserve">                                       </t>
    </r>
    <r>
      <rPr>
        <b/>
        <sz val="11"/>
        <color theme="1"/>
        <rFont val="Aptos Narrow"/>
        <family val="2"/>
        <scheme val="minor"/>
      </rPr>
      <t>SGST</t>
    </r>
  </si>
  <si>
    <r>
      <t xml:space="preserve">                                      </t>
    </r>
    <r>
      <rPr>
        <b/>
        <sz val="11"/>
        <color theme="1"/>
        <rFont val="Aptos Narrow"/>
        <family val="2"/>
        <scheme val="minor"/>
      </rPr>
      <t>CGST</t>
    </r>
  </si>
  <si>
    <r>
      <t xml:space="preserve">Less-                   </t>
    </r>
    <r>
      <rPr>
        <b/>
        <sz val="10"/>
        <color theme="1"/>
        <rFont val="Aptos Narrow"/>
        <family val="2"/>
        <scheme val="minor"/>
      </rPr>
      <t xml:space="preserve">     ROUND OFF</t>
    </r>
  </si>
  <si>
    <r>
      <rPr>
        <b/>
        <sz val="11"/>
        <color theme="1"/>
        <rFont val="Aptos Narrow"/>
        <family val="2"/>
        <scheme val="minor"/>
      </rPr>
      <t xml:space="preserve">CONNECTION CABLE 10MM
</t>
    </r>
    <r>
      <rPr>
        <sz val="11"/>
        <color theme="1"/>
        <rFont val="Aptos Narrow"/>
        <family val="2"/>
        <scheme val="minor"/>
      </rPr>
      <t>12 Month Warranty
HFG589JJU61245</t>
    </r>
  </si>
  <si>
    <r>
      <t xml:space="preserve">                                        </t>
    </r>
    <r>
      <rPr>
        <b/>
        <sz val="11"/>
        <color theme="1"/>
        <rFont val="Aptos Narrow"/>
        <family val="2"/>
        <scheme val="minor"/>
      </rPr>
      <t>CGST</t>
    </r>
  </si>
  <si>
    <r>
      <t xml:space="preserve">                                         </t>
    </r>
    <r>
      <rPr>
        <b/>
        <sz val="11"/>
        <color theme="1"/>
        <rFont val="Aptos Narrow"/>
        <family val="2"/>
        <scheme val="minor"/>
      </rPr>
      <t>SGST</t>
    </r>
  </si>
  <si>
    <r>
      <t xml:space="preserve">EXIDE LITHIUM BATTERY 32878
</t>
    </r>
    <r>
      <rPr>
        <sz val="11"/>
        <color theme="1"/>
        <rFont val="Aptos Narrow"/>
        <family val="2"/>
        <scheme val="minor"/>
      </rPr>
      <t>36 Month Warranty
LK69V28H458BN91247</t>
    </r>
  </si>
  <si>
    <t>Rate/Pc</t>
  </si>
  <si>
    <r>
      <t xml:space="preserve">                                         </t>
    </r>
    <r>
      <rPr>
        <b/>
        <sz val="11"/>
        <color theme="1"/>
        <rFont val="Aptos Narrow"/>
        <family val="2"/>
        <scheme val="minor"/>
      </rPr>
      <t>CGST</t>
    </r>
  </si>
  <si>
    <t xml:space="preserve">                                          SGST</t>
  </si>
  <si>
    <r>
      <t xml:space="preserve">Less-                       </t>
    </r>
    <r>
      <rPr>
        <b/>
        <sz val="10"/>
        <color theme="1"/>
        <rFont val="Aptos Narrow"/>
        <family val="2"/>
        <scheme val="minor"/>
      </rPr>
      <t xml:space="preserve">  ROUND OFF</t>
    </r>
  </si>
  <si>
    <t>CGST</t>
  </si>
  <si>
    <t>SGST</t>
  </si>
  <si>
    <t>Amt</t>
  </si>
  <si>
    <t>Taxable 
Value</t>
  </si>
  <si>
    <t xml:space="preserve">                          H7PGGYB1215789</t>
  </si>
  <si>
    <t xml:space="preserve">                            HFG589JJU61245</t>
  </si>
  <si>
    <t xml:space="preserve">                           LK69V28BN91247</t>
  </si>
  <si>
    <r>
      <rPr>
        <b/>
        <sz val="14"/>
        <color theme="1"/>
        <rFont val="Aptos Narrow"/>
        <family val="2"/>
        <scheme val="minor"/>
      </rPr>
      <t xml:space="preserve">MADALSHA ELECTRICAL AND ELECTRONICS                                         </t>
    </r>
    <r>
      <rPr>
        <sz val="10"/>
        <color theme="1"/>
        <rFont val="Aptos Narrow"/>
        <family val="2"/>
        <scheme val="minor"/>
      </rPr>
      <t>Date-21july2025</t>
    </r>
    <r>
      <rPr>
        <sz val="11"/>
        <color theme="1"/>
        <rFont val="Aptos Narrow"/>
        <family val="2"/>
        <scheme val="minor"/>
      </rPr>
      <t xml:space="preserve">
In Front Of Police Station Yusufpur Ghazipur
cbsingh612001@gmail.com
GSTIN-JKH2458NJH2236C218</t>
    </r>
  </si>
  <si>
    <t>Madalsha Electricals And Electronics</t>
  </si>
  <si>
    <t>S.No.</t>
  </si>
  <si>
    <t>Roll No.</t>
  </si>
  <si>
    <t>Name</t>
  </si>
  <si>
    <t>Father</t>
  </si>
  <si>
    <t>Gender</t>
  </si>
  <si>
    <t>Course</t>
  </si>
  <si>
    <t>Admission Date</t>
  </si>
  <si>
    <t>Total Fee</t>
  </si>
  <si>
    <t>Deposit Fee</t>
  </si>
  <si>
    <t>State</t>
  </si>
  <si>
    <t>manoj kumar</t>
  </si>
  <si>
    <t>hardic singh</t>
  </si>
  <si>
    <t>sunil mishra</t>
  </si>
  <si>
    <t>sujit kumar</t>
  </si>
  <si>
    <t>anil singh</t>
  </si>
  <si>
    <t>ajeet singh</t>
  </si>
  <si>
    <t>gudia singh</t>
  </si>
  <si>
    <t>anurag singh</t>
  </si>
  <si>
    <t>aman yadav</t>
  </si>
  <si>
    <t>partibha singh</t>
  </si>
  <si>
    <t>prashant yadav</t>
  </si>
  <si>
    <t>golu singh</t>
  </si>
  <si>
    <t>vishal yadav</t>
  </si>
  <si>
    <t>kritika singh</t>
  </si>
  <si>
    <t>rupal singh</t>
  </si>
  <si>
    <t>shivam singh</t>
  </si>
  <si>
    <t>vishal singh</t>
  </si>
  <si>
    <t>manish kannojiya</t>
  </si>
  <si>
    <t xml:space="preserve">amit gupta </t>
  </si>
  <si>
    <t>sumit gupta</t>
  </si>
  <si>
    <t>sanjeev kumar</t>
  </si>
  <si>
    <t>avantika singh</t>
  </si>
  <si>
    <t>anchal singh</t>
  </si>
  <si>
    <t>munnan singh</t>
  </si>
  <si>
    <t>rabindranath singh</t>
  </si>
  <si>
    <t>sanjay upadhayay</t>
  </si>
  <si>
    <t>chhote singh</t>
  </si>
  <si>
    <t>virendra pratap singh</t>
  </si>
  <si>
    <t>krishnamohan singh</t>
  </si>
  <si>
    <t>bade singh</t>
  </si>
  <si>
    <t>shera singh</t>
  </si>
  <si>
    <t>atul singh</t>
  </si>
  <si>
    <t>anil rajbhar</t>
  </si>
  <si>
    <t>shivpratap singh</t>
  </si>
  <si>
    <t>alisha parveen</t>
  </si>
  <si>
    <t>aman gupta</t>
  </si>
  <si>
    <t>shrinivash kushwaha</t>
  </si>
  <si>
    <t>shahbaz khan</t>
  </si>
  <si>
    <t>deepu kannojiya</t>
  </si>
  <si>
    <t>mritunjay</t>
  </si>
  <si>
    <t>vipin yadav</t>
  </si>
  <si>
    <t>shama parvin</t>
  </si>
  <si>
    <t>saif ali</t>
  </si>
  <si>
    <t>sarfaraj yadav</t>
  </si>
  <si>
    <t>ramkishun yadav</t>
  </si>
  <si>
    <t>manoj rajbhar</t>
  </si>
  <si>
    <t>brijesh yadav</t>
  </si>
  <si>
    <t>brijesh kushwaha</t>
  </si>
  <si>
    <t xml:space="preserve">brijesh singh yadav </t>
  </si>
  <si>
    <t>vijay gond</t>
  </si>
  <si>
    <t>sanjeev gupta</t>
  </si>
  <si>
    <t>rohan gupta</t>
  </si>
  <si>
    <t>khushi singh</t>
  </si>
  <si>
    <t>parul yadav</t>
  </si>
  <si>
    <t>aman disoja</t>
  </si>
  <si>
    <t>narendranath singh</t>
  </si>
  <si>
    <t>hari singh</t>
  </si>
  <si>
    <t>manmohan singh</t>
  </si>
  <si>
    <t>pintu prajapati</t>
  </si>
  <si>
    <t>ghantu gond</t>
  </si>
  <si>
    <t>bablu kannojiya</t>
  </si>
  <si>
    <t>rita devi</t>
  </si>
  <si>
    <t>sunita singh</t>
  </si>
  <si>
    <t>rubina devi</t>
  </si>
  <si>
    <t>chitra tripathi</t>
  </si>
  <si>
    <t>rubika ara</t>
  </si>
  <si>
    <t>shabanam ara</t>
  </si>
  <si>
    <t>anuj rai</t>
  </si>
  <si>
    <t>anil rai</t>
  </si>
  <si>
    <t>anuj maharaj</t>
  </si>
  <si>
    <t>kailash upadhayay</t>
  </si>
  <si>
    <t>raj upadhayay</t>
  </si>
  <si>
    <t>priyanshu singh</t>
  </si>
  <si>
    <t>vishal manhotra</t>
  </si>
  <si>
    <t>sumit tiwar</t>
  </si>
  <si>
    <t xml:space="preserve"> shruti tiwari</t>
  </si>
  <si>
    <t>shubham yadav</t>
  </si>
  <si>
    <t>monty singh</t>
  </si>
  <si>
    <t>pawan singh</t>
  </si>
  <si>
    <t>rani chatarjee</t>
  </si>
  <si>
    <t>shweta tripathi</t>
  </si>
  <si>
    <t>meenu yadav</t>
  </si>
  <si>
    <t>puja yadav</t>
  </si>
  <si>
    <t>amarjeet yadav</t>
  </si>
  <si>
    <t>ravi teja</t>
  </si>
  <si>
    <t>abhay singh</t>
  </si>
  <si>
    <t>rahul yadav</t>
  </si>
  <si>
    <t>teja yadav</t>
  </si>
  <si>
    <t>suresh kushwaha</t>
  </si>
  <si>
    <t>abhay kumar</t>
  </si>
  <si>
    <t>manoj yadav</t>
  </si>
  <si>
    <t>jeet kumar</t>
  </si>
  <si>
    <t>ritu singh</t>
  </si>
  <si>
    <t>meena singh</t>
  </si>
  <si>
    <t>rubina tiwari</t>
  </si>
  <si>
    <t>sabita kumari</t>
  </si>
  <si>
    <t>lallan kumar</t>
  </si>
  <si>
    <t>lallan singh</t>
  </si>
  <si>
    <t>sunil kumar</t>
  </si>
  <si>
    <t>satyaprakash singh</t>
  </si>
  <si>
    <t>manoj mishra</t>
  </si>
  <si>
    <t>jawahir yadav</t>
  </si>
  <si>
    <t>rabindar singh</t>
  </si>
  <si>
    <t>omprakkash singh</t>
  </si>
  <si>
    <t>kalyan singh</t>
  </si>
  <si>
    <t>mukhtar yadav</t>
  </si>
  <si>
    <t>balwant singh</t>
  </si>
  <si>
    <t>budhi yadav</t>
  </si>
  <si>
    <t>master singh</t>
  </si>
  <si>
    <t>manoj singh</t>
  </si>
  <si>
    <t>ravi singh</t>
  </si>
  <si>
    <t>premprakash singh</t>
  </si>
  <si>
    <t>ashok kannojiya</t>
  </si>
  <si>
    <t>parash gupta</t>
  </si>
  <si>
    <t>suresh kumar</t>
  </si>
  <si>
    <t>tribhvan singh</t>
  </si>
  <si>
    <t>triveni singh</t>
  </si>
  <si>
    <t>guddu singh</t>
  </si>
  <si>
    <t>kalika singh</t>
  </si>
  <si>
    <t>kashi singh</t>
  </si>
  <si>
    <t>kali upadhayay</t>
  </si>
  <si>
    <t>dadhi singh</t>
  </si>
  <si>
    <t>ashok singh</t>
  </si>
  <si>
    <t>bhola singh</t>
  </si>
  <si>
    <t>munna singh</t>
  </si>
  <si>
    <t>sunil rajbhar</t>
  </si>
  <si>
    <t>prabhudev singh</t>
  </si>
  <si>
    <t>munna yadav</t>
  </si>
  <si>
    <t>ajeet khan</t>
  </si>
  <si>
    <t>raju gupta</t>
  </si>
  <si>
    <t>guddu kushwaha</t>
  </si>
  <si>
    <t>manoj khan</t>
  </si>
  <si>
    <t>kanta kannojiya</t>
  </si>
  <si>
    <t>abhay</t>
  </si>
  <si>
    <t>mannan yadav</t>
  </si>
  <si>
    <t>jafar khan</t>
  </si>
  <si>
    <t>zafar ali</t>
  </si>
  <si>
    <t>zawahir yadav</t>
  </si>
  <si>
    <t>lallan yadav</t>
  </si>
  <si>
    <t>lallan rajbhar</t>
  </si>
  <si>
    <t>thakur yadav</t>
  </si>
  <si>
    <t>shantanu kushwaha</t>
  </si>
  <si>
    <t>sunil singh yadav</t>
  </si>
  <si>
    <t>subash gond</t>
  </si>
  <si>
    <t>sunil gupta</t>
  </si>
  <si>
    <t>deelip gupta</t>
  </si>
  <si>
    <t>bijendra singh</t>
  </si>
  <si>
    <t>manoj disoja</t>
  </si>
  <si>
    <t>purab yadav</t>
  </si>
  <si>
    <t>kali singh</t>
  </si>
  <si>
    <t>teju singh</t>
  </si>
  <si>
    <t>dina prajapati</t>
  </si>
  <si>
    <t>mohan gond</t>
  </si>
  <si>
    <t>jhuri kannojiya</t>
  </si>
  <si>
    <t>awadh ojha</t>
  </si>
  <si>
    <t>rahul singh</t>
  </si>
  <si>
    <t>mathur gond</t>
  </si>
  <si>
    <t>sujit tripathi</t>
  </si>
  <si>
    <t>mannan ara</t>
  </si>
  <si>
    <t>surendar rai</t>
  </si>
  <si>
    <t>teju maharaj</t>
  </si>
  <si>
    <t>bappa upadhayay</t>
  </si>
  <si>
    <t>sumit manhotra</t>
  </si>
  <si>
    <t>rajan tiwari</t>
  </si>
  <si>
    <t>balwant yadav</t>
  </si>
  <si>
    <t>mohan chatarjee</t>
  </si>
  <si>
    <t>surendra tripathi</t>
  </si>
  <si>
    <t>lalu yadav</t>
  </si>
  <si>
    <t>brijesh singh yadav</t>
  </si>
  <si>
    <t>sumit bhatacharya</t>
  </si>
  <si>
    <t>raju teja</t>
  </si>
  <si>
    <t>girdhar yadav</t>
  </si>
  <si>
    <t>jhullan kushwaha</t>
  </si>
  <si>
    <t>teju kumar</t>
  </si>
  <si>
    <t>raju yadav</t>
  </si>
  <si>
    <t>pramod kumar</t>
  </si>
  <si>
    <t>indrajeet singh</t>
  </si>
  <si>
    <t>abhishek tiwari</t>
  </si>
  <si>
    <t>virendar kumar</t>
  </si>
  <si>
    <t>male</t>
  </si>
  <si>
    <t>female</t>
  </si>
  <si>
    <t>abhijeet bhatacharya</t>
  </si>
  <si>
    <t>B.Com(H)</t>
  </si>
  <si>
    <t>BCA</t>
  </si>
  <si>
    <t>B.Ed</t>
  </si>
  <si>
    <t>B.Sc.</t>
  </si>
  <si>
    <t>U.P.</t>
  </si>
  <si>
    <t>Bihar</t>
  </si>
  <si>
    <t>Jharkhand</t>
  </si>
  <si>
    <t>Delhi</t>
  </si>
  <si>
    <t>Gujrat</t>
  </si>
  <si>
    <t>average</t>
  </si>
  <si>
    <t>averageif</t>
  </si>
  <si>
    <t>averageifs</t>
  </si>
  <si>
    <t>proper</t>
  </si>
  <si>
    <t>jaiprakash singh</t>
  </si>
  <si>
    <t xml:space="preserve"> countif</t>
  </si>
  <si>
    <t>lookup</t>
  </si>
  <si>
    <t>vlookup</t>
  </si>
  <si>
    <t>match</t>
  </si>
  <si>
    <t>vlookup/match</t>
  </si>
  <si>
    <t>hlookup</t>
  </si>
  <si>
    <r>
      <t xml:space="preserve">hlookup/match                             </t>
    </r>
    <r>
      <rPr>
        <b/>
        <sz val="18"/>
        <color theme="0"/>
        <rFont val="Aptos Narrow"/>
        <scheme val="minor"/>
      </rPr>
      <t xml:space="preserve">  </t>
    </r>
  </si>
  <si>
    <t>index</t>
  </si>
  <si>
    <t>colomn range</t>
  </si>
  <si>
    <t>full table</t>
  </si>
  <si>
    <t>index/match</t>
  </si>
  <si>
    <t>iferror/index/match</t>
  </si>
  <si>
    <t>iferror/vlookup/match</t>
  </si>
  <si>
    <t>DGET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</si>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</sst>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8"/>
      <color theme="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6" fillId="5" borderId="1" xfId="1" applyFont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0" fillId="0" borderId="4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1" xfId="0" applyFont="1" applyBorder="1" applyAlignment="1">
      <alignment horizontal="right"/>
    </xf>
    <xf numFmtId="0" fontId="7" fillId="0" borderId="11" xfId="0" applyFont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/>
    <xf numFmtId="9" fontId="0" fillId="0" borderId="7" xfId="0" applyNumberFormat="1" applyBorder="1" applyAlignment="1">
      <alignment horizontal="center"/>
    </xf>
    <xf numFmtId="0" fontId="7" fillId="0" borderId="1" xfId="0" applyFont="1" applyBorder="1"/>
    <xf numFmtId="9" fontId="0" fillId="0" borderId="0" xfId="0" applyNumberFormat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4" xfId="0" applyNumberFormat="1" applyBorder="1"/>
    <xf numFmtId="9" fontId="0" fillId="0" borderId="2" xfId="0" applyNumberFormat="1" applyBorder="1"/>
    <xf numFmtId="0" fontId="0" fillId="0" borderId="4" xfId="0" applyBorder="1"/>
    <xf numFmtId="0" fontId="7" fillId="0" borderId="4" xfId="0" applyFont="1" applyBorder="1"/>
    <xf numFmtId="0" fontId="7" fillId="0" borderId="2" xfId="0" applyFont="1" applyBorder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14" xfId="0" applyBorder="1"/>
    <xf numFmtId="0" fontId="11" fillId="0" borderId="15" xfId="0" applyFont="1" applyBorder="1"/>
    <xf numFmtId="0" fontId="7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4" xfId="0" applyFont="1" applyBorder="1"/>
    <xf numFmtId="0" fontId="11" fillId="0" borderId="1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Border="1"/>
    <xf numFmtId="0" fontId="0" fillId="0" borderId="3" xfId="0" applyBorder="1"/>
    <xf numFmtId="0" fontId="14" fillId="0" borderId="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9" xfId="0" applyBorder="1"/>
    <xf numFmtId="0" fontId="14" fillId="0" borderId="0" xfId="0" applyFont="1"/>
    <xf numFmtId="0" fontId="14" fillId="0" borderId="7" xfId="0" applyFont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14" fillId="12" borderId="4" xfId="0" applyFont="1" applyFill="1" applyBorder="1" applyAlignment="1">
      <alignment horizontal="center"/>
    </xf>
    <xf numFmtId="0" fontId="14" fillId="12" borderId="5" xfId="0" applyFont="1" applyFill="1" applyBorder="1" applyAlignment="1">
      <alignment horizontal="center"/>
    </xf>
    <xf numFmtId="0" fontId="14" fillId="12" borderId="6" xfId="0" applyFont="1" applyFill="1" applyBorder="1" applyAlignment="1">
      <alignment horizontal="center"/>
    </xf>
    <xf numFmtId="0" fontId="0" fillId="9" borderId="0" xfId="0" applyFill="1" applyBorder="1"/>
    <xf numFmtId="17" fontId="0" fillId="0" borderId="0" xfId="0" applyNumberFormat="1" applyBorder="1"/>
    <xf numFmtId="0" fontId="0" fillId="9" borderId="8" xfId="0" applyFill="1" applyBorder="1"/>
    <xf numFmtId="17" fontId="0" fillId="0" borderId="8" xfId="0" applyNumberFormat="1" applyBorder="1"/>
    <xf numFmtId="0" fontId="0" fillId="13" borderId="0" xfId="0" applyFill="1" applyBorder="1"/>
    <xf numFmtId="0" fontId="0" fillId="13" borderId="8" xfId="0" applyFill="1" applyBorder="1"/>
    <xf numFmtId="0" fontId="15" fillId="11" borderId="13" xfId="0" applyFont="1" applyFill="1" applyBorder="1"/>
    <xf numFmtId="0" fontId="0" fillId="0" borderId="15" xfId="0" applyBorder="1"/>
    <xf numFmtId="0" fontId="15" fillId="11" borderId="4" xfId="0" applyFont="1" applyFill="1" applyBorder="1"/>
    <xf numFmtId="0" fontId="4" fillId="3" borderId="1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9" fillId="6" borderId="0" xfId="0" applyFont="1" applyFill="1" applyAlignment="1">
      <alignment horizontal="right" vertical="top" wrapText="1"/>
    </xf>
    <xf numFmtId="0" fontId="9" fillId="6" borderId="0" xfId="0" applyFont="1" applyFill="1" applyAlignment="1">
      <alignment horizontal="righ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11" borderId="4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15" fillId="11" borderId="6" xfId="0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495299</xdr:rowOff>
    </xdr:from>
    <xdr:to>
      <xdr:col>2</xdr:col>
      <xdr:colOff>628650</xdr:colOff>
      <xdr:row>0</xdr:row>
      <xdr:rowOff>1019174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AFA8EA7-99F5-4737-AB40-78455585F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495299"/>
          <a:ext cx="1676400" cy="523875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22</xdr:row>
      <xdr:rowOff>180975</xdr:rowOff>
    </xdr:from>
    <xdr:to>
      <xdr:col>1</xdr:col>
      <xdr:colOff>542926</xdr:colOff>
      <xdr:row>28</xdr:row>
      <xdr:rowOff>183602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6C8BE97-22DF-23BA-3B33-887CC304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6762750"/>
          <a:ext cx="914400" cy="1145627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0</xdr:row>
      <xdr:rowOff>247650</xdr:rowOff>
    </xdr:from>
    <xdr:to>
      <xdr:col>7</xdr:col>
      <xdr:colOff>400050</xdr:colOff>
      <xdr:row>1</xdr:row>
      <xdr:rowOff>48124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333B26A-0CF4-3981-75DC-C34CB53EF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0" y="247650"/>
          <a:ext cx="1362075" cy="629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B1" zoomScale="90" zoomScaleNormal="90" workbookViewId="0">
      <selection activeCell="J6" sqref="J6"/>
    </sheetView>
  </sheetViews>
  <sheetFormatPr defaultRowHeight="14.25"/>
  <cols>
    <col min="1" max="1" width="13" customWidth="1"/>
    <col min="2" max="2" width="15.125" customWidth="1"/>
    <col min="3" max="3" width="41.75" customWidth="1"/>
    <col min="4" max="4" width="43.25" customWidth="1"/>
    <col min="5" max="5" width="15" customWidth="1"/>
    <col min="6" max="6" width="44.125" customWidth="1"/>
    <col min="7" max="7" width="12.625" customWidth="1"/>
    <col min="8" max="8" width="18.25" customWidth="1"/>
    <col min="9" max="9" width="32.625" customWidth="1"/>
    <col min="10" max="10" width="15.875" customWidth="1"/>
  </cols>
  <sheetData>
    <row r="1" spans="1:10" ht="26.25">
      <c r="A1" s="76" t="s">
        <v>28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18">
      <c r="A2" s="6" t="s">
        <v>0</v>
      </c>
      <c r="B2" s="6" t="s">
        <v>1</v>
      </c>
      <c r="C2" s="6" t="s">
        <v>3</v>
      </c>
      <c r="D2" s="6" t="s">
        <v>2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27</v>
      </c>
      <c r="J2" s="7" t="s">
        <v>14</v>
      </c>
    </row>
    <row r="3" spans="1:10" ht="12.75" customHeight="1">
      <c r="A3" s="3" t="s">
        <v>7</v>
      </c>
      <c r="B3" s="4">
        <v>45883</v>
      </c>
      <c r="C3" s="3" t="s">
        <v>12</v>
      </c>
      <c r="D3" s="3" t="s">
        <v>12</v>
      </c>
      <c r="E3" s="5" t="s">
        <v>21</v>
      </c>
      <c r="F3" s="3" t="s">
        <v>12</v>
      </c>
      <c r="G3" s="3">
        <v>3000</v>
      </c>
      <c r="H3" s="3">
        <v>80</v>
      </c>
      <c r="I3" s="3">
        <f>G3*H3</f>
        <v>240000</v>
      </c>
      <c r="J3" s="8">
        <f>SUMIF(D3:D34,F3,I3:I34)</f>
        <v>377520</v>
      </c>
    </row>
    <row r="4" spans="1:10" ht="15">
      <c r="A4" s="3" t="s">
        <v>8</v>
      </c>
      <c r="B4" s="4">
        <v>45883</v>
      </c>
      <c r="C4" s="3" t="s">
        <v>13</v>
      </c>
      <c r="D4" s="3" t="s">
        <v>13</v>
      </c>
      <c r="E4" s="5" t="s">
        <v>21</v>
      </c>
      <c r="F4" s="3" t="s">
        <v>13</v>
      </c>
      <c r="G4" s="3">
        <f>ROUND(13333.33333,0)</f>
        <v>13333</v>
      </c>
      <c r="H4" s="3">
        <v>72</v>
      </c>
      <c r="I4" s="3">
        <f t="shared" ref="I4:I10" si="0">G4*H4</f>
        <v>959976</v>
      </c>
      <c r="J4" s="8">
        <f t="shared" ref="J4:J10" si="1">SUMIF(D4:D35,F4,I4:I35)</f>
        <v>1087272</v>
      </c>
    </row>
    <row r="5" spans="1:10" ht="15">
      <c r="A5" s="3" t="s">
        <v>9</v>
      </c>
      <c r="B5" s="4">
        <v>45883</v>
      </c>
      <c r="C5" s="3" t="s">
        <v>15</v>
      </c>
      <c r="D5" s="3" t="s">
        <v>15</v>
      </c>
      <c r="E5" s="5" t="s">
        <v>21</v>
      </c>
      <c r="F5" s="3" t="s">
        <v>15</v>
      </c>
      <c r="G5" s="3">
        <v>25</v>
      </c>
      <c r="H5" s="3">
        <v>7687</v>
      </c>
      <c r="I5" s="3">
        <f t="shared" si="0"/>
        <v>192175</v>
      </c>
      <c r="J5" s="8">
        <f t="shared" si="1"/>
        <v>251856868</v>
      </c>
    </row>
    <row r="6" spans="1:10" ht="15">
      <c r="A6" s="3" t="s">
        <v>10</v>
      </c>
      <c r="B6" s="4">
        <v>45883</v>
      </c>
      <c r="C6" s="3" t="s">
        <v>16</v>
      </c>
      <c r="D6" s="3" t="s">
        <v>16</v>
      </c>
      <c r="E6" s="5" t="s">
        <v>21</v>
      </c>
      <c r="F6" s="3" t="s">
        <v>16</v>
      </c>
      <c r="G6" s="3">
        <v>64</v>
      </c>
      <c r="H6" s="3">
        <v>654</v>
      </c>
      <c r="I6" s="3">
        <f t="shared" si="0"/>
        <v>41856</v>
      </c>
      <c r="J6" s="8">
        <f t="shared" si="1"/>
        <v>9006888</v>
      </c>
    </row>
    <row r="7" spans="1:10" ht="15">
      <c r="A7" s="3" t="s">
        <v>23</v>
      </c>
      <c r="B7" s="4">
        <v>45884</v>
      </c>
      <c r="C7" s="3"/>
      <c r="D7" s="3" t="s">
        <v>17</v>
      </c>
      <c r="E7" s="5"/>
      <c r="F7" s="3" t="s">
        <v>17</v>
      </c>
      <c r="G7" s="3">
        <v>2229</v>
      </c>
      <c r="H7" s="3">
        <v>567</v>
      </c>
      <c r="I7" s="3">
        <f t="shared" si="0"/>
        <v>1263843</v>
      </c>
      <c r="J7" s="8">
        <f t="shared" si="1"/>
        <v>30690009</v>
      </c>
    </row>
    <row r="8" spans="1:10" ht="15">
      <c r="A8" s="3" t="s">
        <v>24</v>
      </c>
      <c r="B8" s="4">
        <v>45884</v>
      </c>
      <c r="C8" s="3"/>
      <c r="D8" s="3" t="s">
        <v>18</v>
      </c>
      <c r="E8" s="5"/>
      <c r="F8" s="3" t="s">
        <v>18</v>
      </c>
      <c r="G8" s="3">
        <v>510</v>
      </c>
      <c r="H8" s="3">
        <v>345</v>
      </c>
      <c r="I8" s="3">
        <f t="shared" si="0"/>
        <v>175950</v>
      </c>
      <c r="J8" s="8">
        <f t="shared" si="1"/>
        <v>14506905</v>
      </c>
    </row>
    <row r="9" spans="1:10" ht="15">
      <c r="A9" s="3" t="s">
        <v>25</v>
      </c>
      <c r="B9" s="4">
        <v>45884</v>
      </c>
      <c r="C9" s="3"/>
      <c r="D9" s="3" t="s">
        <v>19</v>
      </c>
      <c r="E9" s="5"/>
      <c r="F9" s="3" t="s">
        <v>19</v>
      </c>
      <c r="G9" s="3">
        <v>106</v>
      </c>
      <c r="H9" s="3">
        <v>678</v>
      </c>
      <c r="I9" s="3">
        <f t="shared" si="0"/>
        <v>71868</v>
      </c>
      <c r="J9" s="8">
        <f t="shared" si="1"/>
        <v>4694472</v>
      </c>
    </row>
    <row r="10" spans="1:10" ht="15">
      <c r="A10" s="3" t="s">
        <v>11</v>
      </c>
      <c r="B10" s="4">
        <v>45884</v>
      </c>
      <c r="C10" s="3" t="s">
        <v>17</v>
      </c>
      <c r="D10" s="3" t="s">
        <v>20</v>
      </c>
      <c r="E10" s="5" t="s">
        <v>21</v>
      </c>
      <c r="F10" s="3" t="s">
        <v>20</v>
      </c>
      <c r="G10" s="3">
        <v>132</v>
      </c>
      <c r="H10" s="3">
        <v>934</v>
      </c>
      <c r="I10" s="3">
        <f t="shared" si="0"/>
        <v>123288</v>
      </c>
      <c r="J10" s="8">
        <f t="shared" si="1"/>
        <v>5340612</v>
      </c>
    </row>
    <row r="11" spans="1:10">
      <c r="A11" s="3" t="s">
        <v>7</v>
      </c>
      <c r="B11" s="4">
        <v>45885</v>
      </c>
      <c r="C11" s="3"/>
      <c r="D11" s="3" t="s">
        <v>12</v>
      </c>
      <c r="E11" s="5"/>
      <c r="F11" s="3"/>
      <c r="G11" s="3">
        <v>565</v>
      </c>
      <c r="H11" s="3"/>
      <c r="I11" s="3">
        <f>G11*H3</f>
        <v>45200</v>
      </c>
      <c r="J11" s="5"/>
    </row>
    <row r="12" spans="1:10">
      <c r="A12" s="3" t="s">
        <v>8</v>
      </c>
      <c r="B12" s="4">
        <v>45885</v>
      </c>
      <c r="C12" s="3" t="s">
        <v>18</v>
      </c>
      <c r="D12" s="3" t="s">
        <v>13</v>
      </c>
      <c r="E12" s="5" t="s">
        <v>21</v>
      </c>
      <c r="F12" s="5"/>
      <c r="G12" s="3">
        <v>458</v>
      </c>
      <c r="H12" s="5"/>
      <c r="I12" s="3">
        <f t="shared" ref="I12:I18" si="2">G12*H4</f>
        <v>32976</v>
      </c>
      <c r="J12" s="5"/>
    </row>
    <row r="13" spans="1:10">
      <c r="A13" s="3" t="s">
        <v>9</v>
      </c>
      <c r="B13" s="4">
        <v>45885</v>
      </c>
      <c r="C13" s="3"/>
      <c r="D13" s="3" t="s">
        <v>15</v>
      </c>
      <c r="E13" s="5"/>
      <c r="F13" s="3"/>
      <c r="G13" s="3">
        <v>96</v>
      </c>
      <c r="H13" s="5"/>
      <c r="I13" s="3">
        <f t="shared" si="2"/>
        <v>737952</v>
      </c>
      <c r="J13" s="5"/>
    </row>
    <row r="14" spans="1:10">
      <c r="A14" s="3" t="s">
        <v>10</v>
      </c>
      <c r="B14" s="4">
        <v>45885</v>
      </c>
      <c r="C14" s="3"/>
      <c r="D14" s="3" t="s">
        <v>16</v>
      </c>
      <c r="E14" s="5"/>
      <c r="F14" s="3"/>
      <c r="G14" s="3">
        <v>658</v>
      </c>
      <c r="H14" s="5"/>
      <c r="I14" s="3">
        <f t="shared" si="2"/>
        <v>430332</v>
      </c>
      <c r="J14" s="5"/>
    </row>
    <row r="15" spans="1:10">
      <c r="A15" s="3" t="s">
        <v>23</v>
      </c>
      <c r="B15" s="4">
        <v>45886</v>
      </c>
      <c r="C15" s="3" t="s">
        <v>19</v>
      </c>
      <c r="D15" s="3" t="s">
        <v>17</v>
      </c>
      <c r="E15" s="5" t="s">
        <v>21</v>
      </c>
      <c r="F15" s="3"/>
      <c r="G15" s="3">
        <v>45887</v>
      </c>
      <c r="H15" s="5"/>
      <c r="I15" s="3">
        <f t="shared" si="2"/>
        <v>26017929</v>
      </c>
      <c r="J15" s="5"/>
    </row>
    <row r="16" spans="1:10">
      <c r="A16" s="3" t="s">
        <v>24</v>
      </c>
      <c r="B16" s="4">
        <v>45886</v>
      </c>
      <c r="C16" s="3" t="s">
        <v>20</v>
      </c>
      <c r="D16" s="3" t="s">
        <v>18</v>
      </c>
      <c r="E16" s="5" t="s">
        <v>21</v>
      </c>
      <c r="F16" s="3"/>
      <c r="G16" s="3">
        <v>41223</v>
      </c>
      <c r="H16" s="5"/>
      <c r="I16" s="3">
        <f t="shared" si="2"/>
        <v>14221935</v>
      </c>
      <c r="J16" s="5"/>
    </row>
    <row r="17" spans="1:10">
      <c r="A17" s="3" t="s">
        <v>25</v>
      </c>
      <c r="B17" s="4">
        <v>45886</v>
      </c>
      <c r="C17" s="5"/>
      <c r="D17" s="3" t="s">
        <v>19</v>
      </c>
      <c r="E17" s="5"/>
      <c r="F17" s="3"/>
      <c r="G17" s="3">
        <v>6325</v>
      </c>
      <c r="H17" s="5"/>
      <c r="I17" s="3">
        <f t="shared" si="2"/>
        <v>4288350</v>
      </c>
      <c r="J17" s="5"/>
    </row>
    <row r="18" spans="1:10">
      <c r="A18" s="3" t="s">
        <v>11</v>
      </c>
      <c r="B18" s="4">
        <v>45886</v>
      </c>
      <c r="C18" s="5"/>
      <c r="D18" s="3" t="s">
        <v>20</v>
      </c>
      <c r="E18" s="5"/>
      <c r="F18" s="3"/>
      <c r="G18" s="3">
        <v>4566</v>
      </c>
      <c r="H18" s="5"/>
      <c r="I18" s="3">
        <f t="shared" si="2"/>
        <v>4264644</v>
      </c>
      <c r="J18" s="5"/>
    </row>
    <row r="19" spans="1:10">
      <c r="A19" s="3" t="s">
        <v>7</v>
      </c>
      <c r="B19" s="4">
        <v>45887</v>
      </c>
      <c r="C19" s="5"/>
      <c r="D19" s="3" t="s">
        <v>12</v>
      </c>
      <c r="E19" s="5"/>
      <c r="F19" s="3"/>
      <c r="G19" s="3">
        <v>698</v>
      </c>
      <c r="H19" s="5"/>
      <c r="I19" s="3">
        <f>G19*H3</f>
        <v>55840</v>
      </c>
      <c r="J19" s="5"/>
    </row>
    <row r="20" spans="1:10">
      <c r="A20" s="3" t="s">
        <v>8</v>
      </c>
      <c r="B20" s="4">
        <v>45887</v>
      </c>
      <c r="C20" s="5"/>
      <c r="D20" s="3" t="s">
        <v>13</v>
      </c>
      <c r="E20" s="5"/>
      <c r="F20" s="3"/>
      <c r="G20" s="3">
        <v>1258</v>
      </c>
      <c r="H20" s="5"/>
      <c r="I20" s="3">
        <f t="shared" ref="I20:I26" si="3">G20*H4</f>
        <v>90576</v>
      </c>
      <c r="J20" s="5"/>
    </row>
    <row r="21" spans="1:10">
      <c r="A21" s="3" t="s">
        <v>9</v>
      </c>
      <c r="B21" s="4">
        <v>45887</v>
      </c>
      <c r="C21" s="5"/>
      <c r="D21" s="3" t="s">
        <v>15</v>
      </c>
      <c r="E21" s="5"/>
      <c r="F21" s="3"/>
      <c r="G21" s="3">
        <v>32547</v>
      </c>
      <c r="H21" s="5"/>
      <c r="I21" s="3">
        <f t="shared" si="3"/>
        <v>250188789</v>
      </c>
      <c r="J21" s="5"/>
    </row>
    <row r="22" spans="1:10">
      <c r="A22" s="3" t="s">
        <v>10</v>
      </c>
      <c r="B22" s="4">
        <v>45887</v>
      </c>
      <c r="C22" s="5"/>
      <c r="D22" s="3" t="s">
        <v>16</v>
      </c>
      <c r="E22" s="5"/>
      <c r="F22" s="3"/>
      <c r="G22" s="3">
        <v>12365</v>
      </c>
      <c r="H22" s="5"/>
      <c r="I22" s="3">
        <f t="shared" si="3"/>
        <v>8086710</v>
      </c>
      <c r="J22" s="5"/>
    </row>
    <row r="23" spans="1:10">
      <c r="A23" s="3" t="s">
        <v>23</v>
      </c>
      <c r="B23" s="4">
        <v>45888</v>
      </c>
      <c r="C23" s="5"/>
      <c r="D23" s="3" t="s">
        <v>17</v>
      </c>
      <c r="E23" s="5"/>
      <c r="F23" s="3"/>
      <c r="G23" s="3">
        <v>5566</v>
      </c>
      <c r="H23" s="5"/>
      <c r="I23" s="3">
        <f t="shared" si="3"/>
        <v>3155922</v>
      </c>
      <c r="J23" s="5"/>
    </row>
    <row r="24" spans="1:10">
      <c r="A24" s="3" t="s">
        <v>24</v>
      </c>
      <c r="B24" s="4">
        <v>45888</v>
      </c>
      <c r="C24" s="5"/>
      <c r="D24" s="3" t="s">
        <v>18</v>
      </c>
      <c r="E24" s="5"/>
      <c r="F24" s="3"/>
      <c r="G24" s="3">
        <v>258</v>
      </c>
      <c r="H24" s="5"/>
      <c r="I24" s="3">
        <f t="shared" si="3"/>
        <v>89010</v>
      </c>
      <c r="J24" s="5"/>
    </row>
    <row r="25" spans="1:10">
      <c r="A25" s="3" t="s">
        <v>25</v>
      </c>
      <c r="B25" s="4">
        <v>45888</v>
      </c>
      <c r="C25" s="5"/>
      <c r="D25" s="3" t="s">
        <v>19</v>
      </c>
      <c r="E25" s="5"/>
      <c r="F25" s="3"/>
      <c r="G25" s="3">
        <v>25</v>
      </c>
      <c r="H25" s="5"/>
      <c r="I25" s="3">
        <f t="shared" si="3"/>
        <v>16950</v>
      </c>
      <c r="J25" s="5"/>
    </row>
    <row r="26" spans="1:10">
      <c r="A26" s="3" t="s">
        <v>11</v>
      </c>
      <c r="B26" s="4">
        <v>45888</v>
      </c>
      <c r="C26" s="5"/>
      <c r="D26" s="3" t="s">
        <v>20</v>
      </c>
      <c r="E26" s="5"/>
      <c r="F26" s="3"/>
      <c r="G26" s="3">
        <v>655</v>
      </c>
      <c r="H26" s="5"/>
      <c r="I26" s="3">
        <f t="shared" si="3"/>
        <v>611770</v>
      </c>
      <c r="J26" s="5"/>
    </row>
    <row r="27" spans="1:10">
      <c r="A27" s="3" t="s">
        <v>7</v>
      </c>
      <c r="B27" s="4">
        <v>45889</v>
      </c>
      <c r="C27" s="5"/>
      <c r="D27" s="3" t="s">
        <v>12</v>
      </c>
      <c r="E27" s="5"/>
      <c r="F27" s="3"/>
      <c r="G27" s="3">
        <v>456</v>
      </c>
      <c r="H27" s="5"/>
      <c r="I27" s="3">
        <f>H3*G27</f>
        <v>36480</v>
      </c>
      <c r="J27" s="5"/>
    </row>
    <row r="28" spans="1:10">
      <c r="A28" s="3" t="s">
        <v>8</v>
      </c>
      <c r="B28" s="4">
        <v>45889</v>
      </c>
      <c r="C28" s="5"/>
      <c r="D28" s="3" t="s">
        <v>13</v>
      </c>
      <c r="E28" s="5"/>
      <c r="F28" s="3"/>
      <c r="G28" s="3">
        <v>52</v>
      </c>
      <c r="H28" s="5"/>
      <c r="I28" s="3">
        <f t="shared" ref="I28:I34" si="4">H4*G28</f>
        <v>3744</v>
      </c>
      <c r="J28" s="5"/>
    </row>
    <row r="29" spans="1:10">
      <c r="A29" s="3" t="s">
        <v>9</v>
      </c>
      <c r="B29" s="4">
        <v>45889</v>
      </c>
      <c r="C29" s="5"/>
      <c r="D29" s="3" t="s">
        <v>15</v>
      </c>
      <c r="E29" s="5"/>
      <c r="F29" s="3"/>
      <c r="G29" s="3">
        <v>96</v>
      </c>
      <c r="H29" s="5"/>
      <c r="I29" s="3">
        <f t="shared" si="4"/>
        <v>737952</v>
      </c>
      <c r="J29" s="5"/>
    </row>
    <row r="30" spans="1:10">
      <c r="A30" s="3" t="s">
        <v>10</v>
      </c>
      <c r="B30" s="4">
        <v>45889</v>
      </c>
      <c r="C30" s="5"/>
      <c r="D30" s="3" t="s">
        <v>16</v>
      </c>
      <c r="E30" s="5"/>
      <c r="F30" s="3"/>
      <c r="G30" s="3">
        <v>685</v>
      </c>
      <c r="H30" s="5"/>
      <c r="I30" s="3">
        <f t="shared" si="4"/>
        <v>447990</v>
      </c>
      <c r="J30" s="5"/>
    </row>
    <row r="31" spans="1:10">
      <c r="A31" s="3" t="s">
        <v>23</v>
      </c>
      <c r="B31" s="3" t="s">
        <v>26</v>
      </c>
      <c r="C31" s="5"/>
      <c r="D31" s="3" t="s">
        <v>17</v>
      </c>
      <c r="E31" s="5"/>
      <c r="F31" s="3"/>
      <c r="G31" s="3">
        <v>445</v>
      </c>
      <c r="H31" s="5"/>
      <c r="I31" s="3">
        <f t="shared" si="4"/>
        <v>252315</v>
      </c>
      <c r="J31" s="5"/>
    </row>
    <row r="32" spans="1:10">
      <c r="A32" s="3" t="s">
        <v>24</v>
      </c>
      <c r="B32" s="4">
        <v>45890</v>
      </c>
      <c r="C32" s="5"/>
      <c r="D32" s="3" t="s">
        <v>18</v>
      </c>
      <c r="E32" s="5"/>
      <c r="F32" s="3"/>
      <c r="G32" s="3">
        <v>58</v>
      </c>
      <c r="H32" s="5"/>
      <c r="I32" s="3">
        <f t="shared" si="4"/>
        <v>20010</v>
      </c>
      <c r="J32" s="5"/>
    </row>
    <row r="33" spans="1:10">
      <c r="A33" s="3" t="s">
        <v>25</v>
      </c>
      <c r="B33" s="4">
        <v>45891</v>
      </c>
      <c r="C33" s="5"/>
      <c r="D33" s="3" t="s">
        <v>19</v>
      </c>
      <c r="E33" s="5"/>
      <c r="F33" s="3"/>
      <c r="G33" s="3">
        <v>468</v>
      </c>
      <c r="H33" s="5"/>
      <c r="I33" s="3">
        <f t="shared" si="4"/>
        <v>317304</v>
      </c>
      <c r="J33" s="5"/>
    </row>
    <row r="34" spans="1:10">
      <c r="A34" s="3" t="s">
        <v>11</v>
      </c>
      <c r="B34" s="4">
        <v>45891</v>
      </c>
      <c r="C34" s="5"/>
      <c r="D34" s="3" t="s">
        <v>20</v>
      </c>
      <c r="E34" s="5"/>
      <c r="F34" s="3"/>
      <c r="G34" s="3">
        <v>365</v>
      </c>
      <c r="H34" s="5"/>
      <c r="I34" s="3">
        <f t="shared" si="4"/>
        <v>340910</v>
      </c>
      <c r="J34" s="5"/>
    </row>
    <row r="35" spans="1:10">
      <c r="F35" s="1"/>
      <c r="I35" s="1"/>
    </row>
    <row r="36" spans="1:10">
      <c r="F36" s="1"/>
      <c r="I36" s="1"/>
    </row>
    <row r="37" spans="1:10">
      <c r="F37" s="1"/>
      <c r="I37" s="1"/>
    </row>
    <row r="38" spans="1:10">
      <c r="F38" s="1"/>
      <c r="I38" s="1"/>
    </row>
    <row r="39" spans="1:10">
      <c r="F39" s="1"/>
      <c r="I39" s="1"/>
    </row>
    <row r="40" spans="1:10">
      <c r="F40" s="1"/>
      <c r="I40" s="1"/>
    </row>
    <row r="41" spans="1:10">
      <c r="F41" s="1"/>
      <c r="I41" s="1"/>
    </row>
    <row r="42" spans="1:10" ht="15">
      <c r="B42" s="2"/>
      <c r="F42" s="1"/>
      <c r="I42" s="1"/>
    </row>
    <row r="43" spans="1:10">
      <c r="F43" s="1"/>
      <c r="I43" s="1"/>
    </row>
    <row r="44" spans="1:10">
      <c r="F44" s="1"/>
      <c r="I44" s="1"/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I12" sqref="I12"/>
    </sheetView>
  </sheetViews>
  <sheetFormatPr defaultRowHeight="14.25"/>
  <cols>
    <col min="1" max="1" width="6" customWidth="1"/>
    <col min="2" max="2" width="23.25" customWidth="1"/>
    <col min="3" max="3" width="22.875" customWidth="1"/>
    <col min="4" max="4" width="6.875" customWidth="1"/>
    <col min="5" max="5" width="6.25" customWidth="1"/>
    <col min="6" max="6" width="9.375" customWidth="1"/>
  </cols>
  <sheetData>
    <row r="1" spans="1:6" ht="90.75" customHeight="1">
      <c r="A1" s="80" t="s">
        <v>94</v>
      </c>
      <c r="B1" s="81"/>
      <c r="C1" s="81"/>
      <c r="D1" s="81"/>
      <c r="E1" s="81"/>
      <c r="F1" s="81"/>
    </row>
    <row r="2" spans="1:6" ht="26.25">
      <c r="A2" s="77" t="s">
        <v>29</v>
      </c>
      <c r="B2" s="77"/>
      <c r="C2" s="77"/>
      <c r="D2" s="77"/>
      <c r="E2" s="77"/>
      <c r="F2" s="77"/>
    </row>
    <row r="3" spans="1:6" ht="18">
      <c r="A3" s="78" t="s">
        <v>86</v>
      </c>
      <c r="B3" s="78"/>
      <c r="C3" s="78"/>
      <c r="D3" s="78"/>
      <c r="E3" s="78"/>
      <c r="F3" s="78"/>
    </row>
    <row r="4" spans="1:6" ht="15">
      <c r="A4" s="9" t="s">
        <v>87</v>
      </c>
      <c r="B4" s="9" t="s">
        <v>88</v>
      </c>
      <c r="C4" s="9" t="s">
        <v>89</v>
      </c>
      <c r="D4" s="9" t="s">
        <v>30</v>
      </c>
      <c r="E4" s="9" t="s">
        <v>31</v>
      </c>
      <c r="F4" s="9" t="s">
        <v>90</v>
      </c>
    </row>
    <row r="5" spans="1:6">
      <c r="A5" s="1">
        <v>1</v>
      </c>
      <c r="B5" s="1" t="s">
        <v>32</v>
      </c>
      <c r="C5" s="1" t="s">
        <v>33</v>
      </c>
      <c r="D5" s="1">
        <v>1000</v>
      </c>
      <c r="E5" s="1">
        <v>2500</v>
      </c>
      <c r="F5" s="1">
        <f>D5*E5</f>
        <v>2500000</v>
      </c>
    </row>
    <row r="6" spans="1:6">
      <c r="A6" s="1">
        <v>2</v>
      </c>
      <c r="B6" s="1" t="s">
        <v>34</v>
      </c>
      <c r="C6" s="1" t="s">
        <v>35</v>
      </c>
      <c r="D6" s="1">
        <v>72</v>
      </c>
      <c r="E6" s="1">
        <v>4200</v>
      </c>
      <c r="F6" s="1">
        <f t="shared" ref="F6:F34" si="0">D6*E6</f>
        <v>302400</v>
      </c>
    </row>
    <row r="7" spans="1:6">
      <c r="A7" s="1">
        <v>3</v>
      </c>
      <c r="B7" s="1" t="s">
        <v>36</v>
      </c>
      <c r="C7" s="1" t="s">
        <v>37</v>
      </c>
      <c r="D7" s="1">
        <v>825</v>
      </c>
      <c r="E7" s="1">
        <v>67</v>
      </c>
      <c r="F7" s="1">
        <f t="shared" si="0"/>
        <v>55275</v>
      </c>
    </row>
    <row r="8" spans="1:6">
      <c r="A8" s="1">
        <v>4</v>
      </c>
      <c r="B8" s="1" t="s">
        <v>38</v>
      </c>
      <c r="C8" s="1" t="s">
        <v>39</v>
      </c>
      <c r="D8" s="1">
        <v>5290</v>
      </c>
      <c r="E8" s="1">
        <v>512</v>
      </c>
      <c r="F8" s="1">
        <f t="shared" si="0"/>
        <v>2708480</v>
      </c>
    </row>
    <row r="9" spans="1:6">
      <c r="A9" s="1">
        <v>5</v>
      </c>
      <c r="B9" s="1" t="s">
        <v>40</v>
      </c>
      <c r="C9" s="1" t="s">
        <v>41</v>
      </c>
      <c r="D9" s="1">
        <v>2080</v>
      </c>
      <c r="E9" s="1">
        <v>80</v>
      </c>
      <c r="F9" s="1">
        <f t="shared" si="0"/>
        <v>166400</v>
      </c>
    </row>
    <row r="10" spans="1:6">
      <c r="A10" s="1">
        <v>6</v>
      </c>
      <c r="B10" s="1" t="s">
        <v>42</v>
      </c>
      <c r="C10" s="1" t="s">
        <v>41</v>
      </c>
      <c r="D10" s="1">
        <v>2000</v>
      </c>
      <c r="E10" s="1">
        <v>600</v>
      </c>
      <c r="F10" s="1">
        <f t="shared" si="0"/>
        <v>1200000</v>
      </c>
    </row>
    <row r="11" spans="1:6">
      <c r="A11" s="1">
        <v>7</v>
      </c>
      <c r="B11" s="1" t="s">
        <v>43</v>
      </c>
      <c r="C11" s="1" t="s">
        <v>44</v>
      </c>
      <c r="D11" s="1">
        <v>500</v>
      </c>
      <c r="E11" s="1">
        <v>1225</v>
      </c>
      <c r="F11" s="1">
        <f t="shared" si="0"/>
        <v>612500</v>
      </c>
    </row>
    <row r="12" spans="1:6">
      <c r="A12" s="1">
        <v>8</v>
      </c>
      <c r="B12" s="1" t="s">
        <v>45</v>
      </c>
      <c r="C12" s="1" t="s">
        <v>46</v>
      </c>
      <c r="D12" s="1">
        <v>100</v>
      </c>
      <c r="E12" s="1">
        <v>800</v>
      </c>
      <c r="F12" s="1">
        <f t="shared" si="0"/>
        <v>80000</v>
      </c>
    </row>
    <row r="13" spans="1:6">
      <c r="A13" s="1">
        <v>9</v>
      </c>
      <c r="B13" s="1" t="s">
        <v>91</v>
      </c>
      <c r="C13" s="1" t="s">
        <v>92</v>
      </c>
      <c r="D13" s="1">
        <v>225</v>
      </c>
      <c r="E13" s="1">
        <v>280</v>
      </c>
      <c r="F13" s="1">
        <f t="shared" si="0"/>
        <v>63000</v>
      </c>
    </row>
    <row r="14" spans="1:6">
      <c r="A14" s="1">
        <v>10</v>
      </c>
      <c r="B14" s="1" t="s">
        <v>47</v>
      </c>
      <c r="C14" s="1" t="s">
        <v>48</v>
      </c>
      <c r="D14" s="1">
        <v>1000</v>
      </c>
      <c r="E14" s="1">
        <v>6080</v>
      </c>
      <c r="F14" s="1">
        <f t="shared" si="0"/>
        <v>6080000</v>
      </c>
    </row>
    <row r="15" spans="1:6">
      <c r="A15" s="1">
        <v>11</v>
      </c>
      <c r="B15" s="1" t="s">
        <v>49</v>
      </c>
      <c r="C15" s="1" t="s">
        <v>50</v>
      </c>
      <c r="D15" s="1">
        <v>300</v>
      </c>
      <c r="E15" s="1">
        <v>4260</v>
      </c>
      <c r="F15" s="1">
        <f t="shared" si="0"/>
        <v>1278000</v>
      </c>
    </row>
    <row r="16" spans="1:6">
      <c r="A16" s="1">
        <v>12</v>
      </c>
      <c r="B16" s="1" t="s">
        <v>51</v>
      </c>
      <c r="C16" s="1" t="s">
        <v>52</v>
      </c>
      <c r="D16" s="1">
        <v>2000</v>
      </c>
      <c r="E16" s="1">
        <v>56</v>
      </c>
      <c r="F16" s="1">
        <f t="shared" si="0"/>
        <v>112000</v>
      </c>
    </row>
    <row r="17" spans="1:6">
      <c r="A17" s="1">
        <v>13</v>
      </c>
      <c r="B17" s="1" t="s">
        <v>53</v>
      </c>
      <c r="C17" s="1" t="s">
        <v>54</v>
      </c>
      <c r="D17" s="1">
        <v>100</v>
      </c>
      <c r="E17" s="1">
        <v>325</v>
      </c>
      <c r="F17" s="1">
        <f t="shared" si="0"/>
        <v>32500</v>
      </c>
    </row>
    <row r="18" spans="1:6">
      <c r="A18" s="1">
        <v>14</v>
      </c>
      <c r="B18" s="1" t="s">
        <v>55</v>
      </c>
      <c r="C18" s="1" t="s">
        <v>56</v>
      </c>
      <c r="D18" s="1">
        <v>200</v>
      </c>
      <c r="E18" s="1">
        <v>680</v>
      </c>
      <c r="F18" s="1">
        <f t="shared" si="0"/>
        <v>136000</v>
      </c>
    </row>
    <row r="19" spans="1:6">
      <c r="A19" s="1">
        <v>15</v>
      </c>
      <c r="B19" s="1" t="s">
        <v>57</v>
      </c>
      <c r="C19" s="1" t="s">
        <v>58</v>
      </c>
      <c r="D19" s="1">
        <v>200</v>
      </c>
      <c r="E19" s="1">
        <v>7580</v>
      </c>
      <c r="F19" s="1">
        <f t="shared" si="0"/>
        <v>1516000</v>
      </c>
    </row>
    <row r="20" spans="1:6">
      <c r="A20" s="1">
        <v>16</v>
      </c>
      <c r="B20" s="1" t="s">
        <v>59</v>
      </c>
      <c r="C20" s="1" t="s">
        <v>93</v>
      </c>
      <c r="D20" s="1">
        <v>200</v>
      </c>
      <c r="E20" s="1">
        <v>812</v>
      </c>
      <c r="F20" s="1">
        <f t="shared" si="0"/>
        <v>162400</v>
      </c>
    </row>
    <row r="21" spans="1:6">
      <c r="A21" s="1">
        <v>17</v>
      </c>
      <c r="B21" s="1" t="s">
        <v>60</v>
      </c>
      <c r="C21" s="1" t="s">
        <v>61</v>
      </c>
      <c r="D21" s="1">
        <v>600</v>
      </c>
      <c r="E21" s="1">
        <v>3280</v>
      </c>
      <c r="F21" s="1">
        <f t="shared" si="0"/>
        <v>1968000</v>
      </c>
    </row>
    <row r="22" spans="1:6">
      <c r="A22" s="1">
        <v>18</v>
      </c>
      <c r="B22" s="1" t="s">
        <v>62</v>
      </c>
      <c r="C22" s="1" t="s">
        <v>63</v>
      </c>
      <c r="D22" s="1">
        <v>300</v>
      </c>
      <c r="E22" s="1">
        <v>2760</v>
      </c>
      <c r="F22" s="1">
        <f t="shared" si="0"/>
        <v>828000</v>
      </c>
    </row>
    <row r="23" spans="1:6">
      <c r="A23" s="1">
        <v>19</v>
      </c>
      <c r="B23" s="1" t="s">
        <v>64</v>
      </c>
      <c r="C23" s="1" t="s">
        <v>65</v>
      </c>
      <c r="D23" s="1">
        <v>5000</v>
      </c>
      <c r="E23" s="1">
        <v>70</v>
      </c>
      <c r="F23" s="1">
        <f t="shared" si="0"/>
        <v>350000</v>
      </c>
    </row>
    <row r="24" spans="1:6">
      <c r="A24" s="1">
        <v>20</v>
      </c>
      <c r="B24" s="1" t="s">
        <v>66</v>
      </c>
      <c r="C24" s="1" t="s">
        <v>67</v>
      </c>
      <c r="D24" s="1">
        <v>980</v>
      </c>
      <c r="E24" s="1">
        <v>348</v>
      </c>
      <c r="F24" s="1">
        <f t="shared" si="0"/>
        <v>341040</v>
      </c>
    </row>
    <row r="25" spans="1:6">
      <c r="A25" s="1">
        <v>21</v>
      </c>
      <c r="B25" s="1" t="s">
        <v>68</v>
      </c>
      <c r="C25" s="1" t="s">
        <v>69</v>
      </c>
      <c r="D25" s="1">
        <v>50</v>
      </c>
      <c r="E25" s="1">
        <v>90</v>
      </c>
      <c r="F25" s="1">
        <f t="shared" si="0"/>
        <v>4500</v>
      </c>
    </row>
    <row r="26" spans="1:6">
      <c r="A26" s="1">
        <v>22</v>
      </c>
      <c r="B26" s="1" t="s">
        <v>70</v>
      </c>
      <c r="C26" s="1" t="s">
        <v>71</v>
      </c>
      <c r="D26" s="1">
        <v>425</v>
      </c>
      <c r="E26" s="1">
        <v>526</v>
      </c>
      <c r="F26" s="1">
        <f t="shared" si="0"/>
        <v>223550</v>
      </c>
    </row>
    <row r="27" spans="1:6">
      <c r="A27" s="1">
        <v>23</v>
      </c>
      <c r="B27" s="1" t="s">
        <v>72</v>
      </c>
      <c r="C27" s="1" t="s">
        <v>73</v>
      </c>
      <c r="D27" s="1">
        <v>5000</v>
      </c>
      <c r="E27" s="1">
        <v>136</v>
      </c>
      <c r="F27" s="1">
        <f t="shared" si="0"/>
        <v>680000</v>
      </c>
    </row>
    <row r="28" spans="1:6">
      <c r="A28" s="1">
        <v>24</v>
      </c>
      <c r="B28" s="1" t="s">
        <v>74</v>
      </c>
      <c r="C28" s="1" t="s">
        <v>41</v>
      </c>
      <c r="D28" s="1">
        <v>300</v>
      </c>
      <c r="E28" s="1">
        <v>325</v>
      </c>
      <c r="F28" s="1">
        <f t="shared" si="0"/>
        <v>97500</v>
      </c>
    </row>
    <row r="29" spans="1:6">
      <c r="A29" s="1">
        <v>25</v>
      </c>
      <c r="B29" s="1" t="s">
        <v>75</v>
      </c>
      <c r="C29" s="1" t="s">
        <v>76</v>
      </c>
      <c r="D29" s="1">
        <v>300</v>
      </c>
      <c r="E29" s="1">
        <v>800</v>
      </c>
      <c r="F29" s="1">
        <f t="shared" si="0"/>
        <v>240000</v>
      </c>
    </row>
    <row r="30" spans="1:6">
      <c r="A30" s="1">
        <v>26</v>
      </c>
      <c r="B30" s="1" t="s">
        <v>77</v>
      </c>
      <c r="C30" s="1" t="s">
        <v>78</v>
      </c>
      <c r="D30" s="1">
        <v>2500</v>
      </c>
      <c r="E30" s="1">
        <v>630</v>
      </c>
      <c r="F30" s="1">
        <f t="shared" si="0"/>
        <v>1575000</v>
      </c>
    </row>
    <row r="31" spans="1:6">
      <c r="A31" s="1">
        <v>27</v>
      </c>
      <c r="B31" s="1" t="s">
        <v>79</v>
      </c>
      <c r="C31" s="1" t="s">
        <v>50</v>
      </c>
      <c r="D31" s="1">
        <v>560</v>
      </c>
      <c r="E31" s="1">
        <v>3844</v>
      </c>
      <c r="F31" s="1">
        <f t="shared" si="0"/>
        <v>2152640</v>
      </c>
    </row>
    <row r="32" spans="1:6">
      <c r="A32" s="1">
        <v>28</v>
      </c>
      <c r="B32" s="1" t="s">
        <v>80</v>
      </c>
      <c r="C32" s="1" t="s">
        <v>81</v>
      </c>
      <c r="D32" s="1">
        <v>400</v>
      </c>
      <c r="E32" s="1">
        <v>2270</v>
      </c>
      <c r="F32" s="1">
        <f t="shared" si="0"/>
        <v>908000</v>
      </c>
    </row>
    <row r="33" spans="1:6">
      <c r="A33" s="1">
        <v>29</v>
      </c>
      <c r="B33" s="1" t="s">
        <v>82</v>
      </c>
      <c r="C33" s="1" t="s">
        <v>83</v>
      </c>
      <c r="D33" s="1">
        <v>25000</v>
      </c>
      <c r="E33" s="1">
        <v>25</v>
      </c>
      <c r="F33" s="1">
        <f t="shared" si="0"/>
        <v>625000</v>
      </c>
    </row>
    <row r="34" spans="1:6">
      <c r="A34" s="1">
        <v>30</v>
      </c>
      <c r="B34" s="1" t="s">
        <v>84</v>
      </c>
      <c r="C34" s="1" t="s">
        <v>35</v>
      </c>
      <c r="D34" s="1">
        <v>200</v>
      </c>
      <c r="E34" s="1">
        <v>7680</v>
      </c>
      <c r="F34" s="1">
        <f t="shared" si="0"/>
        <v>1536000</v>
      </c>
    </row>
    <row r="35" spans="1:6" ht="15">
      <c r="A35" s="79" t="s">
        <v>85</v>
      </c>
      <c r="B35" s="79"/>
      <c r="C35" s="79"/>
      <c r="D35" s="79"/>
      <c r="E35" s="79"/>
      <c r="F35" s="10">
        <f>SUM(F5:F34)</f>
        <v>28534185</v>
      </c>
    </row>
  </sheetData>
  <mergeCells count="4">
    <mergeCell ref="A2:F2"/>
    <mergeCell ref="A3:F3"/>
    <mergeCell ref="A35:E35"/>
    <mergeCell ref="A1:F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B28" sqref="B28"/>
    </sheetView>
  </sheetViews>
  <sheetFormatPr defaultRowHeight="14.25"/>
  <cols>
    <col min="1" max="1" width="6.125" customWidth="1"/>
    <col min="2" max="2" width="27" customWidth="1"/>
    <col min="3" max="3" width="9.25" customWidth="1"/>
    <col min="4" max="5" width="7.375" customWidth="1"/>
    <col min="6" max="6" width="11.25" customWidth="1"/>
    <col min="7" max="7" width="8.375" customWidth="1"/>
  </cols>
  <sheetData>
    <row r="1" spans="1:9" ht="65.25" customHeight="1">
      <c r="A1" s="82" t="s">
        <v>125</v>
      </c>
      <c r="B1" s="83"/>
      <c r="C1" s="83"/>
      <c r="D1" s="83"/>
      <c r="E1" s="83"/>
      <c r="F1" s="83"/>
      <c r="G1" s="83"/>
      <c r="H1" s="83"/>
    </row>
    <row r="2" spans="1:9" ht="18">
      <c r="A2" s="85" t="s">
        <v>95</v>
      </c>
      <c r="B2" s="85"/>
      <c r="C2" s="85"/>
      <c r="D2" s="85"/>
      <c r="E2" s="85"/>
      <c r="F2" s="85"/>
      <c r="G2" s="85"/>
      <c r="H2" s="85"/>
      <c r="I2" s="85"/>
    </row>
    <row r="3" spans="1:9" ht="63.75" customHeight="1">
      <c r="A3" s="86" t="s">
        <v>96</v>
      </c>
      <c r="B3" s="87"/>
      <c r="C3" s="87"/>
      <c r="D3" s="87"/>
      <c r="E3" s="87"/>
      <c r="F3" s="87"/>
      <c r="G3" s="87"/>
      <c r="H3" s="87"/>
      <c r="I3" s="87"/>
    </row>
    <row r="4" spans="1:9" ht="15">
      <c r="A4" s="84" t="s">
        <v>97</v>
      </c>
      <c r="B4" s="84"/>
      <c r="C4" s="84"/>
      <c r="D4" s="84"/>
      <c r="E4" s="84"/>
      <c r="F4" s="84"/>
      <c r="G4" s="84"/>
      <c r="H4" s="84"/>
      <c r="I4" s="84"/>
    </row>
    <row r="5" spans="1:9" ht="30">
      <c r="A5" s="15" t="s">
        <v>98</v>
      </c>
      <c r="B5" s="16" t="s">
        <v>99</v>
      </c>
      <c r="C5" s="17" t="s">
        <v>100</v>
      </c>
      <c r="D5" s="17" t="s">
        <v>106</v>
      </c>
      <c r="E5" s="17" t="s">
        <v>105</v>
      </c>
      <c r="F5" s="18" t="s">
        <v>102</v>
      </c>
      <c r="G5" s="17" t="s">
        <v>114</v>
      </c>
      <c r="H5" s="19" t="s">
        <v>103</v>
      </c>
    </row>
    <row r="6" spans="1:9" ht="59.25">
      <c r="A6" s="11">
        <v>1</v>
      </c>
      <c r="B6" s="45" t="s">
        <v>104</v>
      </c>
      <c r="C6" s="20">
        <v>85044010</v>
      </c>
      <c r="D6" s="36">
        <v>0.18</v>
      </c>
      <c r="E6" s="38">
        <v>1</v>
      </c>
      <c r="F6" s="39">
        <f>H6+H7+H8</f>
        <v>6000.01</v>
      </c>
      <c r="G6" s="20">
        <v>5084.75</v>
      </c>
      <c r="H6" s="41">
        <v>5084.75</v>
      </c>
    </row>
    <row r="7" spans="1:9" ht="15">
      <c r="A7" s="11"/>
      <c r="B7" s="43" t="s">
        <v>108</v>
      </c>
      <c r="C7" s="25"/>
      <c r="D7" s="11"/>
      <c r="E7" s="11"/>
      <c r="F7" s="11"/>
      <c r="G7" s="25"/>
      <c r="H7" s="24">
        <v>457.63</v>
      </c>
    </row>
    <row r="8" spans="1:9" ht="15">
      <c r="A8" s="11"/>
      <c r="B8" s="43" t="s">
        <v>107</v>
      </c>
      <c r="C8" s="25"/>
      <c r="D8" s="11"/>
      <c r="E8" s="11"/>
      <c r="F8" s="11"/>
      <c r="G8" s="25"/>
      <c r="H8" s="24">
        <v>457.63</v>
      </c>
    </row>
    <row r="9" spans="1:9">
      <c r="A9" s="11"/>
      <c r="B9" s="43" t="s">
        <v>109</v>
      </c>
      <c r="C9" s="25"/>
      <c r="D9" s="11"/>
      <c r="E9" s="11"/>
      <c r="F9" s="11"/>
      <c r="G9" s="25"/>
      <c r="H9" s="24">
        <v>0.01</v>
      </c>
    </row>
    <row r="10" spans="1:9">
      <c r="A10" s="11"/>
      <c r="B10" s="43"/>
      <c r="C10" s="25"/>
      <c r="D10" s="11"/>
      <c r="E10" s="11"/>
      <c r="F10" s="11"/>
      <c r="G10" s="25"/>
      <c r="H10" s="24"/>
    </row>
    <row r="11" spans="1:9" ht="44.25">
      <c r="A11" s="11">
        <v>2</v>
      </c>
      <c r="B11" s="46" t="s">
        <v>110</v>
      </c>
      <c r="C11" s="25">
        <v>548</v>
      </c>
      <c r="D11" s="37">
        <v>0.18</v>
      </c>
      <c r="E11" s="11">
        <v>3</v>
      </c>
      <c r="F11" s="40">
        <f>H11+H12+H13</f>
        <v>5664</v>
      </c>
      <c r="G11" s="25">
        <v>1600</v>
      </c>
      <c r="H11" s="42">
        <f>G11*E11</f>
        <v>4800</v>
      </c>
    </row>
    <row r="12" spans="1:9" ht="15">
      <c r="A12" s="11"/>
      <c r="B12" s="43" t="s">
        <v>111</v>
      </c>
      <c r="C12" s="25"/>
      <c r="D12" s="11"/>
      <c r="E12" s="11"/>
      <c r="F12" s="11"/>
      <c r="G12" s="25"/>
      <c r="H12" s="24">
        <f>G11*D11*E11/2</f>
        <v>432</v>
      </c>
    </row>
    <row r="13" spans="1:9" ht="15">
      <c r="A13" s="11"/>
      <c r="B13" s="43" t="s">
        <v>112</v>
      </c>
      <c r="C13" s="25"/>
      <c r="D13" s="11"/>
      <c r="E13" s="11"/>
      <c r="F13" s="11"/>
      <c r="G13" s="25"/>
      <c r="H13" s="24">
        <f>G11*D11*E11/2</f>
        <v>432</v>
      </c>
    </row>
    <row r="14" spans="1:9">
      <c r="A14" s="11"/>
      <c r="B14" s="43"/>
      <c r="C14" s="25"/>
      <c r="D14" s="11"/>
      <c r="E14" s="11"/>
      <c r="F14" s="11"/>
      <c r="G14" s="25"/>
      <c r="H14" s="24"/>
    </row>
    <row r="15" spans="1:9" ht="59.25">
      <c r="A15" s="11">
        <v>3</v>
      </c>
      <c r="B15" s="47" t="s">
        <v>113</v>
      </c>
      <c r="C15" s="25">
        <v>61249587</v>
      </c>
      <c r="D15" s="37">
        <v>0.18</v>
      </c>
      <c r="E15" s="11">
        <v>2</v>
      </c>
      <c r="F15" s="40">
        <f>H15+H16+H17</f>
        <v>52996.160000000003</v>
      </c>
      <c r="G15" s="25">
        <v>22456</v>
      </c>
      <c r="H15" s="42">
        <f>G15*E15</f>
        <v>44912</v>
      </c>
    </row>
    <row r="16" spans="1:9" ht="15">
      <c r="A16" s="11"/>
      <c r="B16" s="43" t="s">
        <v>115</v>
      </c>
      <c r="C16" s="11"/>
      <c r="D16" s="11"/>
      <c r="E16" s="11"/>
      <c r="F16" s="11"/>
      <c r="G16" s="11"/>
      <c r="H16" s="24">
        <f>G15*D15*E15/2</f>
        <v>4042.08</v>
      </c>
    </row>
    <row r="17" spans="1:8" ht="15">
      <c r="A17" s="11"/>
      <c r="B17" s="48" t="s">
        <v>116</v>
      </c>
      <c r="C17" s="11"/>
      <c r="D17" s="11"/>
      <c r="E17" s="11"/>
      <c r="F17" s="11"/>
      <c r="G17" s="11"/>
      <c r="H17" s="24">
        <f>G15*D15*E15/2</f>
        <v>4042.08</v>
      </c>
    </row>
    <row r="18" spans="1:8">
      <c r="A18" s="11"/>
      <c r="B18" s="43" t="s">
        <v>117</v>
      </c>
      <c r="C18" s="11"/>
      <c r="D18" s="11"/>
      <c r="E18" s="11"/>
      <c r="F18" s="11"/>
      <c r="G18" s="11"/>
      <c r="H18" s="24">
        <v>0.16</v>
      </c>
    </row>
    <row r="19" spans="1:8">
      <c r="A19" s="11"/>
      <c r="B19" s="43"/>
      <c r="C19" s="11"/>
      <c r="D19" s="11"/>
      <c r="E19" s="11"/>
      <c r="F19" s="11"/>
      <c r="G19" s="11"/>
      <c r="H19" s="43"/>
    </row>
    <row r="20" spans="1:8">
      <c r="A20" s="11"/>
      <c r="B20" s="43"/>
      <c r="C20" s="11"/>
      <c r="D20" s="11"/>
      <c r="E20" s="11"/>
      <c r="F20" s="11"/>
      <c r="G20" s="11"/>
      <c r="H20" s="43"/>
    </row>
    <row r="21" spans="1:8">
      <c r="A21" s="11"/>
      <c r="B21" s="43"/>
      <c r="C21" s="11"/>
      <c r="D21" s="11"/>
      <c r="E21" s="11"/>
      <c r="F21" s="11"/>
      <c r="G21" s="11"/>
      <c r="H21" s="43"/>
    </row>
    <row r="22" spans="1:8" ht="15.75">
      <c r="A22" s="12"/>
      <c r="B22" s="49" t="s">
        <v>85</v>
      </c>
      <c r="C22" s="12"/>
      <c r="D22" s="12"/>
      <c r="E22" s="12"/>
      <c r="F22" s="12"/>
      <c r="G22" s="12"/>
      <c r="H22" s="44">
        <f>H6+H7+H8+H11+H12+H13+H15+H16+H17-H9-H18</f>
        <v>64660</v>
      </c>
    </row>
    <row r="24" spans="1:8">
      <c r="B24" s="92" t="s">
        <v>100</v>
      </c>
      <c r="C24" s="90" t="s">
        <v>121</v>
      </c>
      <c r="D24" s="88" t="s">
        <v>118</v>
      </c>
      <c r="E24" s="88"/>
      <c r="F24" s="89" t="s">
        <v>119</v>
      </c>
      <c r="G24" s="89"/>
      <c r="H24" s="94" t="s">
        <v>90</v>
      </c>
    </row>
    <row r="25" spans="1:8">
      <c r="B25" s="93"/>
      <c r="C25" s="91"/>
      <c r="D25" s="22" t="s">
        <v>101</v>
      </c>
      <c r="E25" s="22" t="s">
        <v>120</v>
      </c>
      <c r="F25" s="22" t="s">
        <v>101</v>
      </c>
      <c r="G25" s="22" t="s">
        <v>120</v>
      </c>
      <c r="H25" s="95"/>
    </row>
    <row r="26" spans="1:8">
      <c r="B26" t="s">
        <v>122</v>
      </c>
      <c r="C26" s="22">
        <v>5084.75</v>
      </c>
      <c r="D26" s="21">
        <v>0.09</v>
      </c>
      <c r="E26" s="24">
        <f>C26*D26</f>
        <v>457.6275</v>
      </c>
      <c r="F26" s="23">
        <v>0.09</v>
      </c>
      <c r="G26" s="24">
        <f>C26*F26</f>
        <v>457.6275</v>
      </c>
      <c r="H26" s="14">
        <f>E26+G26</f>
        <v>915.255</v>
      </c>
    </row>
    <row r="27" spans="1:8">
      <c r="B27" t="s">
        <v>123</v>
      </c>
      <c r="C27" s="24">
        <v>4800</v>
      </c>
      <c r="D27" s="21">
        <v>0.09</v>
      </c>
      <c r="E27" s="24">
        <f>C27*D27</f>
        <v>432</v>
      </c>
      <c r="F27" s="34">
        <v>0.09</v>
      </c>
      <c r="G27" s="24">
        <f>C27*F27</f>
        <v>432</v>
      </c>
      <c r="H27" s="14">
        <f>E27+G27</f>
        <v>864</v>
      </c>
    </row>
    <row r="28" spans="1:8">
      <c r="B28" s="13" t="s">
        <v>124</v>
      </c>
      <c r="C28" s="26">
        <v>22456</v>
      </c>
      <c r="D28" s="32">
        <v>0.09</v>
      </c>
      <c r="E28" s="26">
        <f>C28*D28</f>
        <v>2021.04</v>
      </c>
      <c r="F28" s="35">
        <v>0.09</v>
      </c>
      <c r="G28" s="26">
        <f>C28*F28</f>
        <v>2021.04</v>
      </c>
      <c r="H28" s="27">
        <f>E28+G28</f>
        <v>4042.08</v>
      </c>
    </row>
    <row r="29" spans="1:8" ht="15">
      <c r="B29" s="28" t="s">
        <v>85</v>
      </c>
      <c r="C29" s="29">
        <f>SUM(C26:C28)</f>
        <v>32340.75</v>
      </c>
      <c r="D29" s="30"/>
      <c r="E29" s="33">
        <f>E26+E27+E28</f>
        <v>2910.6675</v>
      </c>
      <c r="F29" s="30"/>
      <c r="G29" s="33">
        <f>G26+G27+G28</f>
        <v>2910.6675</v>
      </c>
      <c r="H29" s="31">
        <f>H26+H27+H28</f>
        <v>5821.335</v>
      </c>
    </row>
    <row r="32" spans="1:8">
      <c r="E32" s="84" t="s">
        <v>126</v>
      </c>
      <c r="F32" s="84"/>
      <c r="G32" s="84"/>
      <c r="H32" s="84"/>
    </row>
  </sheetData>
  <mergeCells count="10">
    <mergeCell ref="A1:H1"/>
    <mergeCell ref="E32:H32"/>
    <mergeCell ref="A2:I2"/>
    <mergeCell ref="A3:I3"/>
    <mergeCell ref="A4:I4"/>
    <mergeCell ref="D24:E24"/>
    <mergeCell ref="F24:G24"/>
    <mergeCell ref="C24:C25"/>
    <mergeCell ref="B24:B25"/>
    <mergeCell ref="H24:H25"/>
  </mergeCells>
  <pageMargins left="1.0899999999999999" right="0.7" top="0.75" bottom="0.75" header="0.3" footer="0.3"/>
  <pageSetup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topLeftCell="A66" zoomScale="115" zoomScaleNormal="115" workbookViewId="0">
      <selection sqref="A1:J101"/>
    </sheetView>
  </sheetViews>
  <sheetFormatPr defaultRowHeight="14.25"/>
  <cols>
    <col min="3" max="3" width="18.125" bestFit="1" customWidth="1"/>
    <col min="4" max="4" width="17.375" bestFit="1" customWidth="1"/>
    <col min="7" max="7" width="16.25" bestFit="1" customWidth="1"/>
    <col min="9" max="9" width="12.5" bestFit="1" customWidth="1"/>
    <col min="10" max="10" width="9.375" bestFit="1" customWidth="1"/>
    <col min="14" max="14" width="11" bestFit="1" customWidth="1"/>
    <col min="15" max="15" width="18.875" bestFit="1" customWidth="1"/>
    <col min="16" max="16" width="18" bestFit="1" customWidth="1"/>
    <col min="20" max="20" width="14.375" customWidth="1"/>
    <col min="25" max="25" width="16.25" bestFit="1" customWidth="1"/>
    <col min="27" max="27" width="12.5" bestFit="1" customWidth="1"/>
  </cols>
  <sheetData>
    <row r="1" spans="1:32" ht="15.75">
      <c r="A1" s="64" t="s">
        <v>127</v>
      </c>
      <c r="B1" s="65" t="s">
        <v>128</v>
      </c>
      <c r="C1" s="65" t="s">
        <v>129</v>
      </c>
      <c r="D1" s="65" t="s">
        <v>130</v>
      </c>
      <c r="E1" s="65" t="s">
        <v>131</v>
      </c>
      <c r="F1" s="65" t="s">
        <v>132</v>
      </c>
      <c r="G1" s="65" t="s">
        <v>133</v>
      </c>
      <c r="H1" s="65" t="s">
        <v>134</v>
      </c>
      <c r="I1" s="65" t="s">
        <v>135</v>
      </c>
      <c r="J1" s="66" t="s">
        <v>136</v>
      </c>
      <c r="L1" s="60" t="s">
        <v>328</v>
      </c>
      <c r="M1" s="61" t="s">
        <v>329</v>
      </c>
      <c r="N1" s="62" t="s">
        <v>330</v>
      </c>
      <c r="O1" s="96" t="s">
        <v>331</v>
      </c>
      <c r="P1" s="98"/>
      <c r="Q1" s="96" t="s">
        <v>333</v>
      </c>
      <c r="R1" s="98"/>
      <c r="S1" s="50"/>
      <c r="T1" s="96" t="s">
        <v>334</v>
      </c>
      <c r="U1" s="97"/>
      <c r="V1" s="97"/>
      <c r="W1" s="97"/>
      <c r="X1" s="97"/>
      <c r="Y1" s="97"/>
      <c r="Z1" s="97"/>
      <c r="AA1" s="97"/>
      <c r="AB1" s="97"/>
      <c r="AC1" s="98"/>
      <c r="AD1" s="57"/>
      <c r="AE1" s="75" t="s">
        <v>347</v>
      </c>
      <c r="AF1" s="73" t="s">
        <v>348</v>
      </c>
    </row>
    <row r="2" spans="1:32">
      <c r="A2" s="11">
        <v>1</v>
      </c>
      <c r="B2" s="67">
        <v>101</v>
      </c>
      <c r="C2" s="51" t="s">
        <v>332</v>
      </c>
      <c r="D2" s="51" t="s">
        <v>234</v>
      </c>
      <c r="E2" s="51" t="s">
        <v>316</v>
      </c>
      <c r="F2" s="71" t="s">
        <v>319</v>
      </c>
      <c r="G2" s="68">
        <v>45658</v>
      </c>
      <c r="H2" s="51">
        <v>42000</v>
      </c>
      <c r="I2" s="51">
        <v>28000</v>
      </c>
      <c r="J2" s="52" t="s">
        <v>323</v>
      </c>
      <c r="L2" s="11"/>
      <c r="M2" s="51" t="s">
        <v>323</v>
      </c>
      <c r="N2" s="52"/>
      <c r="O2" s="11" t="str">
        <f>PROPER(C1:C100)</f>
        <v>Jaiprakash Singh</v>
      </c>
      <c r="P2" s="52" t="str">
        <f>PROPER(D1:D100)</f>
        <v>Lallan Singh</v>
      </c>
      <c r="Q2" s="51">
        <f>COUNTIF(F2:F101,Q3)</f>
        <v>37</v>
      </c>
      <c r="R2" s="52"/>
      <c r="T2" s="11"/>
      <c r="U2" s="51"/>
      <c r="V2" s="51"/>
      <c r="W2" s="51"/>
      <c r="X2" s="51"/>
      <c r="Y2" s="51"/>
      <c r="Z2" s="51"/>
      <c r="AA2" s="51"/>
      <c r="AB2" s="51"/>
      <c r="AC2" s="52"/>
      <c r="AE2" s="11">
        <f>SUMIF(F2:F101,AE3,I2:I101)</f>
        <v>1063800</v>
      </c>
      <c r="AF2" s="43">
        <f>SUMIFS(I2:I101,F2:F101,AF3,E2:E101,AF4)</f>
        <v>237000</v>
      </c>
    </row>
    <row r="3" spans="1:32">
      <c r="A3" s="11">
        <v>2</v>
      </c>
      <c r="B3" s="67">
        <v>102</v>
      </c>
      <c r="C3" s="51" t="s">
        <v>137</v>
      </c>
      <c r="D3" s="51" t="s">
        <v>235</v>
      </c>
      <c r="E3" s="51" t="s">
        <v>316</v>
      </c>
      <c r="F3" s="71" t="s">
        <v>320</v>
      </c>
      <c r="G3" s="68">
        <v>45658</v>
      </c>
      <c r="H3" s="51">
        <v>80000</v>
      </c>
      <c r="I3" s="51">
        <v>32000</v>
      </c>
      <c r="J3" s="52" t="s">
        <v>324</v>
      </c>
      <c r="L3" s="11">
        <f>AVERAGE(I2:I101)</f>
        <v>50715</v>
      </c>
      <c r="M3" s="51">
        <f>AVERAGEIF(J2:J101,M2,I2:I101)</f>
        <v>55620</v>
      </c>
      <c r="N3" s="52">
        <f>ROUND(AVERAGEIFS(I2:I101,J2:J101,N5,F2:F101,N6),0)</f>
        <v>60867</v>
      </c>
      <c r="O3" s="11" t="str">
        <f>PROPER(C2:C101)</f>
        <v>Manoj Kumar</v>
      </c>
      <c r="P3" s="52" t="str">
        <f>PROPER(D2:D101)</f>
        <v>Sunil Kumar</v>
      </c>
      <c r="Q3" s="51" t="s">
        <v>322</v>
      </c>
      <c r="R3" s="52"/>
      <c r="T3" s="11"/>
      <c r="U3" s="51"/>
      <c r="V3" s="51"/>
      <c r="W3" s="51"/>
      <c r="X3" s="51"/>
      <c r="Y3" s="51"/>
      <c r="Z3" s="51"/>
      <c r="AA3" s="51"/>
      <c r="AB3" s="51"/>
      <c r="AC3" s="52"/>
      <c r="AE3" s="12" t="s">
        <v>321</v>
      </c>
      <c r="AF3" s="43" t="s">
        <v>321</v>
      </c>
    </row>
    <row r="4" spans="1:32">
      <c r="A4" s="11">
        <v>3</v>
      </c>
      <c r="B4" s="67">
        <v>103</v>
      </c>
      <c r="C4" s="51" t="s">
        <v>138</v>
      </c>
      <c r="D4" s="51" t="s">
        <v>236</v>
      </c>
      <c r="E4" s="51" t="s">
        <v>316</v>
      </c>
      <c r="F4" s="71" t="s">
        <v>321</v>
      </c>
      <c r="G4" s="68">
        <v>45658</v>
      </c>
      <c r="H4" s="51">
        <v>75000</v>
      </c>
      <c r="I4" s="51">
        <v>45000</v>
      </c>
      <c r="J4" s="52" t="s">
        <v>325</v>
      </c>
      <c r="L4" s="11"/>
      <c r="M4" s="51"/>
      <c r="N4" s="52"/>
      <c r="O4" s="11" t="str">
        <f t="shared" ref="O4:P67" si="0">PROPER(C3:C102)</f>
        <v>Hardic Singh</v>
      </c>
      <c r="P4" s="52" t="str">
        <f t="shared" si="0"/>
        <v>Satyaprakash Singh</v>
      </c>
      <c r="Q4" s="51"/>
      <c r="R4" s="52"/>
      <c r="T4" s="11"/>
      <c r="U4" s="51"/>
      <c r="V4" s="51"/>
      <c r="W4" s="51"/>
      <c r="X4" s="51"/>
      <c r="Y4" s="51"/>
      <c r="Z4" s="51">
        <v>0</v>
      </c>
      <c r="AA4" s="51"/>
      <c r="AB4" s="51"/>
      <c r="AC4" s="52"/>
      <c r="AF4" s="74" t="s">
        <v>317</v>
      </c>
    </row>
    <row r="5" spans="1:32" ht="15.75">
      <c r="A5" s="11">
        <v>4</v>
      </c>
      <c r="B5" s="67">
        <v>104</v>
      </c>
      <c r="C5" s="51" t="s">
        <v>139</v>
      </c>
      <c r="D5" s="51" t="s">
        <v>237</v>
      </c>
      <c r="E5" s="51" t="s">
        <v>316</v>
      </c>
      <c r="F5" s="71" t="s">
        <v>319</v>
      </c>
      <c r="G5" s="68">
        <v>45658</v>
      </c>
      <c r="H5" s="51">
        <v>42000</v>
      </c>
      <c r="I5" s="51">
        <v>42000</v>
      </c>
      <c r="J5" s="52" t="s">
        <v>323</v>
      </c>
      <c r="L5" s="11"/>
      <c r="M5" s="51"/>
      <c r="N5" s="52" t="s">
        <v>324</v>
      </c>
      <c r="O5" s="11" t="str">
        <f t="shared" si="0"/>
        <v>Sunil Mishra</v>
      </c>
      <c r="P5" s="52" t="str">
        <f t="shared" si="0"/>
        <v>Manoj Mishra</v>
      </c>
      <c r="Q5" s="51" t="s">
        <v>319</v>
      </c>
      <c r="R5" s="52">
        <f>COUNTIF($F$2:$F$101,Q5)</f>
        <v>29</v>
      </c>
      <c r="T5" s="53"/>
      <c r="U5" s="54" t="s">
        <v>128</v>
      </c>
      <c r="V5" s="54" t="s">
        <v>129</v>
      </c>
      <c r="W5" s="54" t="s">
        <v>130</v>
      </c>
      <c r="X5" s="54" t="s">
        <v>131</v>
      </c>
      <c r="Y5" s="54" t="s">
        <v>132</v>
      </c>
      <c r="Z5" s="54" t="s">
        <v>133</v>
      </c>
      <c r="AA5" s="54" t="s">
        <v>134</v>
      </c>
      <c r="AB5" s="54" t="s">
        <v>135</v>
      </c>
      <c r="AC5" s="55" t="s">
        <v>136</v>
      </c>
    </row>
    <row r="6" spans="1:32">
      <c r="A6" s="11">
        <v>5</v>
      </c>
      <c r="B6" s="67">
        <v>105</v>
      </c>
      <c r="C6" s="51" t="s">
        <v>145</v>
      </c>
      <c r="D6" s="51" t="s">
        <v>238</v>
      </c>
      <c r="E6" s="51" t="s">
        <v>316</v>
      </c>
      <c r="F6" s="71" t="s">
        <v>319</v>
      </c>
      <c r="G6" s="68">
        <v>45658</v>
      </c>
      <c r="H6" s="51">
        <v>42000</v>
      </c>
      <c r="I6" s="51">
        <v>13000</v>
      </c>
      <c r="J6" s="52" t="s">
        <v>326</v>
      </c>
      <c r="L6" s="12"/>
      <c r="M6" s="13"/>
      <c r="N6" s="56" t="s">
        <v>320</v>
      </c>
      <c r="O6" s="11" t="str">
        <f t="shared" si="0"/>
        <v>Aman Yadav</v>
      </c>
      <c r="P6" s="52" t="str">
        <f t="shared" si="0"/>
        <v>Jawahir Yadav</v>
      </c>
      <c r="Q6" s="51" t="s">
        <v>320</v>
      </c>
      <c r="R6" s="52">
        <f>COUNTIF($F$2:$F$101,Q6)</f>
        <v>17</v>
      </c>
      <c r="T6" s="12"/>
      <c r="U6" s="13">
        <v>105</v>
      </c>
      <c r="V6" s="13" t="str">
        <f>LOOKUP($U$6,$B$2:$B$101,C2:C101)</f>
        <v>aman yadav</v>
      </c>
      <c r="W6" s="13" t="str">
        <f t="shared" ref="W6:AC6" si="1">LOOKUP($U$6,$B$2:$B$101,D2:D101)</f>
        <v>jawahir yadav</v>
      </c>
      <c r="X6" s="13" t="str">
        <f t="shared" si="1"/>
        <v>male</v>
      </c>
      <c r="Y6" s="13" t="str">
        <f t="shared" si="1"/>
        <v>B.Com(H)</v>
      </c>
      <c r="Z6" s="13">
        <f t="shared" si="1"/>
        <v>45658</v>
      </c>
      <c r="AA6" s="13">
        <f t="shared" si="1"/>
        <v>42000</v>
      </c>
      <c r="AB6" s="13">
        <f t="shared" si="1"/>
        <v>13000</v>
      </c>
      <c r="AC6" s="56" t="str">
        <f t="shared" si="1"/>
        <v>Delhi</v>
      </c>
    </row>
    <row r="7" spans="1:32">
      <c r="A7" s="11">
        <v>6</v>
      </c>
      <c r="B7" s="67">
        <v>106</v>
      </c>
      <c r="C7" s="51" t="s">
        <v>140</v>
      </c>
      <c r="D7" s="51" t="s">
        <v>137</v>
      </c>
      <c r="E7" s="51" t="s">
        <v>316</v>
      </c>
      <c r="F7" s="71" t="s">
        <v>322</v>
      </c>
      <c r="G7" s="68">
        <v>45658</v>
      </c>
      <c r="H7" s="51">
        <v>55000</v>
      </c>
      <c r="I7" s="51">
        <v>48000</v>
      </c>
      <c r="J7" s="52" t="s">
        <v>323</v>
      </c>
      <c r="O7" s="11" t="str">
        <f t="shared" si="0"/>
        <v>Sujit Kumar</v>
      </c>
      <c r="P7" s="52" t="str">
        <f t="shared" si="0"/>
        <v>Manoj Kumar</v>
      </c>
      <c r="Q7" s="51" t="s">
        <v>321</v>
      </c>
      <c r="R7" s="52">
        <f t="shared" ref="R7:R8" si="2">COUNTIF($F$2:$F$101,Q7)</f>
        <v>17</v>
      </c>
    </row>
    <row r="8" spans="1:32" ht="15.75">
      <c r="A8" s="11">
        <v>7</v>
      </c>
      <c r="B8" s="67">
        <v>107</v>
      </c>
      <c r="C8" s="51" t="s">
        <v>141</v>
      </c>
      <c r="D8" s="51" t="s">
        <v>239</v>
      </c>
      <c r="E8" s="51" t="s">
        <v>316</v>
      </c>
      <c r="F8" s="71" t="s">
        <v>319</v>
      </c>
      <c r="G8" s="68">
        <v>45658</v>
      </c>
      <c r="H8" s="51">
        <v>42000</v>
      </c>
      <c r="I8" s="51">
        <v>27000</v>
      </c>
      <c r="J8" s="52" t="s">
        <v>324</v>
      </c>
      <c r="O8" s="11" t="str">
        <f t="shared" si="0"/>
        <v>Anil Singh</v>
      </c>
      <c r="P8" s="52" t="str">
        <f t="shared" si="0"/>
        <v>Rabindar Singh</v>
      </c>
      <c r="Q8" s="13" t="s">
        <v>322</v>
      </c>
      <c r="R8" s="56">
        <f t="shared" si="2"/>
        <v>37</v>
      </c>
      <c r="T8" s="96" t="s">
        <v>335</v>
      </c>
      <c r="U8" s="97"/>
      <c r="V8" s="97"/>
      <c r="W8" s="97"/>
      <c r="X8" s="97"/>
      <c r="Y8" s="97"/>
      <c r="Z8" s="97"/>
      <c r="AA8" s="97"/>
      <c r="AB8" s="97"/>
      <c r="AC8" s="98"/>
    </row>
    <row r="9" spans="1:32" ht="15.75">
      <c r="A9" s="11">
        <v>8</v>
      </c>
      <c r="B9" s="67">
        <v>108</v>
      </c>
      <c r="C9" s="51" t="s">
        <v>142</v>
      </c>
      <c r="D9" s="51" t="s">
        <v>239</v>
      </c>
      <c r="E9" s="51" t="s">
        <v>316</v>
      </c>
      <c r="F9" s="71" t="s">
        <v>320</v>
      </c>
      <c r="G9" s="68">
        <v>45658</v>
      </c>
      <c r="H9" s="51">
        <v>80000</v>
      </c>
      <c r="I9" s="51">
        <v>80000</v>
      </c>
      <c r="J9" s="52" t="s">
        <v>324</v>
      </c>
      <c r="O9" s="11" t="str">
        <f t="shared" si="0"/>
        <v>Ajeet Singh</v>
      </c>
      <c r="P9" s="52" t="str">
        <f t="shared" si="0"/>
        <v>Rabindar Singh</v>
      </c>
      <c r="T9" s="50" t="s">
        <v>128</v>
      </c>
      <c r="U9" s="50" t="s">
        <v>129</v>
      </c>
      <c r="V9" s="50" t="s">
        <v>130</v>
      </c>
      <c r="W9" s="50" t="s">
        <v>131</v>
      </c>
      <c r="X9" s="50" t="s">
        <v>132</v>
      </c>
      <c r="Y9" s="50" t="s">
        <v>133</v>
      </c>
      <c r="Z9" s="50" t="s">
        <v>134</v>
      </c>
      <c r="AA9" s="50" t="s">
        <v>135</v>
      </c>
      <c r="AB9" s="50" t="s">
        <v>136</v>
      </c>
      <c r="AC9" s="55"/>
    </row>
    <row r="10" spans="1:32">
      <c r="A10" s="11">
        <v>9</v>
      </c>
      <c r="B10" s="67">
        <v>109</v>
      </c>
      <c r="C10" s="51" t="s">
        <v>144</v>
      </c>
      <c r="D10" s="51" t="s">
        <v>240</v>
      </c>
      <c r="E10" s="51" t="s">
        <v>316</v>
      </c>
      <c r="F10" s="71" t="s">
        <v>321</v>
      </c>
      <c r="G10" s="68">
        <v>45658</v>
      </c>
      <c r="H10" s="51">
        <v>75000</v>
      </c>
      <c r="I10" s="51">
        <v>72000</v>
      </c>
      <c r="J10" s="52" t="s">
        <v>325</v>
      </c>
      <c r="O10" s="11" t="str">
        <f t="shared" si="0"/>
        <v>Anurag Singh</v>
      </c>
      <c r="P10" s="52" t="str">
        <f t="shared" si="0"/>
        <v>Omprakkash Singh</v>
      </c>
      <c r="T10" s="12">
        <v>176</v>
      </c>
      <c r="U10" s="13" t="str">
        <f>VLOOKUP($T$10,$B$1:$J$101,2,0)</f>
        <v>vishal manhotra</v>
      </c>
      <c r="V10" s="13" t="str">
        <f>VLOOKUP($T$10,$B$1:$J$101,3,0)</f>
        <v>sumit manhotra</v>
      </c>
      <c r="W10" s="13" t="str">
        <f>VLOOKUP($T$10,$B$1:$J$101,4,0)</f>
        <v>male</v>
      </c>
      <c r="X10" s="13" t="str">
        <f>VLOOKUP($T$10,$B$1:$J$101,5,0)</f>
        <v>B.Ed</v>
      </c>
      <c r="Y10" s="13">
        <f>VLOOKUP($T$10,$B$1:$J$101,6,0)</f>
        <v>45809</v>
      </c>
      <c r="Z10" s="13">
        <f>VLOOKUP($T$10,$B$1:$J$101,7,0)</f>
        <v>75000</v>
      </c>
      <c r="AA10" s="13">
        <f>VLOOKUP($T$10,$B$1:$J$101,8,0)</f>
        <v>70000</v>
      </c>
      <c r="AB10" s="13" t="str">
        <f>VLOOKUP($T$10,$B$1:$J$101,9,0)</f>
        <v>Bihar</v>
      </c>
      <c r="AC10" s="56"/>
    </row>
    <row r="11" spans="1:32">
      <c r="A11" s="11">
        <v>10</v>
      </c>
      <c r="B11" s="67">
        <v>110</v>
      </c>
      <c r="C11" s="51" t="s">
        <v>143</v>
      </c>
      <c r="D11" s="51" t="s">
        <v>240</v>
      </c>
      <c r="E11" s="51" t="s">
        <v>317</v>
      </c>
      <c r="F11" s="71" t="s">
        <v>322</v>
      </c>
      <c r="G11" s="68">
        <v>45658</v>
      </c>
      <c r="H11" s="51">
        <v>55000</v>
      </c>
      <c r="I11" s="51">
        <v>52000</v>
      </c>
      <c r="J11" s="52" t="s">
        <v>326</v>
      </c>
      <c r="O11" s="11" t="str">
        <f t="shared" si="0"/>
        <v>Gudia Singh</v>
      </c>
      <c r="P11" s="52" t="str">
        <f t="shared" si="0"/>
        <v>Omprakkash Singh</v>
      </c>
    </row>
    <row r="12" spans="1:32" ht="15.75">
      <c r="A12" s="11">
        <v>11</v>
      </c>
      <c r="B12" s="67">
        <v>111</v>
      </c>
      <c r="C12" s="51" t="s">
        <v>146</v>
      </c>
      <c r="D12" s="51" t="s">
        <v>241</v>
      </c>
      <c r="E12" s="51" t="s">
        <v>317</v>
      </c>
      <c r="F12" s="71" t="s">
        <v>321</v>
      </c>
      <c r="G12" s="68">
        <v>45658</v>
      </c>
      <c r="H12" s="51">
        <v>75000</v>
      </c>
      <c r="I12" s="51">
        <v>27000</v>
      </c>
      <c r="J12" s="52" t="s">
        <v>327</v>
      </c>
      <c r="O12" s="11" t="str">
        <f t="shared" si="0"/>
        <v>Partibha Singh</v>
      </c>
      <c r="P12" s="52" t="str">
        <f t="shared" si="0"/>
        <v>Kalyan Singh</v>
      </c>
      <c r="T12" s="96" t="s">
        <v>336</v>
      </c>
      <c r="U12" s="97"/>
      <c r="V12" s="97"/>
      <c r="W12" s="97"/>
      <c r="X12" s="97"/>
      <c r="Y12" s="97"/>
      <c r="Z12" s="97"/>
      <c r="AA12" s="97"/>
      <c r="AB12" s="97"/>
      <c r="AC12" s="98"/>
    </row>
    <row r="13" spans="1:32">
      <c r="A13" s="11">
        <v>12</v>
      </c>
      <c r="B13" s="67">
        <v>112</v>
      </c>
      <c r="C13" s="51" t="s">
        <v>147</v>
      </c>
      <c r="D13" s="51" t="s">
        <v>242</v>
      </c>
      <c r="E13" s="51" t="s">
        <v>316</v>
      </c>
      <c r="F13" s="71" t="s">
        <v>321</v>
      </c>
      <c r="G13" s="68">
        <v>45658</v>
      </c>
      <c r="H13" s="51">
        <v>75000</v>
      </c>
      <c r="I13" s="51">
        <v>59000</v>
      </c>
      <c r="J13" s="52" t="s">
        <v>327</v>
      </c>
      <c r="O13" s="11" t="str">
        <f t="shared" si="0"/>
        <v>Prashant Yadav</v>
      </c>
      <c r="P13" s="52" t="str">
        <f t="shared" si="0"/>
        <v>Mukhtar Yadav</v>
      </c>
      <c r="T13" s="12">
        <v>105</v>
      </c>
      <c r="U13" s="56">
        <f>MATCH(T13,B1:B101,0)</f>
        <v>6</v>
      </c>
      <c r="V13" s="13"/>
      <c r="W13" s="13"/>
      <c r="X13" s="13"/>
      <c r="Y13" s="13"/>
      <c r="Z13" s="13"/>
      <c r="AA13" s="13"/>
      <c r="AB13" s="13"/>
      <c r="AC13" s="56"/>
    </row>
    <row r="14" spans="1:32">
      <c r="A14" s="11">
        <v>13</v>
      </c>
      <c r="B14" s="67">
        <v>113</v>
      </c>
      <c r="C14" s="51" t="s">
        <v>148</v>
      </c>
      <c r="D14" s="51" t="s">
        <v>243</v>
      </c>
      <c r="E14" s="51" t="s">
        <v>316</v>
      </c>
      <c r="F14" s="71" t="s">
        <v>320</v>
      </c>
      <c r="G14" s="68">
        <v>45689</v>
      </c>
      <c r="H14" s="51">
        <v>80000</v>
      </c>
      <c r="I14" s="51">
        <v>74000</v>
      </c>
      <c r="J14" s="52" t="s">
        <v>326</v>
      </c>
      <c r="O14" s="11" t="str">
        <f t="shared" si="0"/>
        <v>Golu Singh</v>
      </c>
      <c r="P14" s="52" t="str">
        <f t="shared" si="0"/>
        <v>Balwant Singh</v>
      </c>
    </row>
    <row r="15" spans="1:32" ht="15.75">
      <c r="A15" s="11">
        <v>14</v>
      </c>
      <c r="B15" s="67">
        <v>114</v>
      </c>
      <c r="C15" s="51" t="s">
        <v>149</v>
      </c>
      <c r="D15" s="51" t="s">
        <v>244</v>
      </c>
      <c r="E15" s="51" t="s">
        <v>316</v>
      </c>
      <c r="F15" s="71" t="s">
        <v>322</v>
      </c>
      <c r="G15" s="68">
        <v>45689</v>
      </c>
      <c r="H15" s="51">
        <v>55000</v>
      </c>
      <c r="I15" s="51">
        <v>42600</v>
      </c>
      <c r="J15" s="52" t="s">
        <v>323</v>
      </c>
      <c r="O15" s="11" t="str">
        <f t="shared" si="0"/>
        <v>Vishal Yadav</v>
      </c>
      <c r="P15" s="52" t="str">
        <f t="shared" si="0"/>
        <v>Budhi Yadav</v>
      </c>
      <c r="T15" s="96" t="s">
        <v>337</v>
      </c>
      <c r="U15" s="97"/>
      <c r="V15" s="97"/>
      <c r="W15" s="97"/>
      <c r="X15" s="97"/>
      <c r="Y15" s="97"/>
      <c r="Z15" s="97"/>
      <c r="AA15" s="97"/>
      <c r="AB15" s="97"/>
      <c r="AC15" s="98"/>
    </row>
    <row r="16" spans="1:32" ht="15.75">
      <c r="A16" s="11">
        <v>15</v>
      </c>
      <c r="B16" s="67">
        <v>115</v>
      </c>
      <c r="C16" s="51" t="s">
        <v>150</v>
      </c>
      <c r="D16" s="51" t="s">
        <v>245</v>
      </c>
      <c r="E16" s="51" t="s">
        <v>317</v>
      </c>
      <c r="F16" s="71" t="s">
        <v>321</v>
      </c>
      <c r="G16" s="68">
        <v>45689</v>
      </c>
      <c r="H16" s="51">
        <v>75000</v>
      </c>
      <c r="I16" s="51">
        <v>67000</v>
      </c>
      <c r="J16" s="52" t="s">
        <v>323</v>
      </c>
      <c r="O16" s="11" t="str">
        <f t="shared" si="0"/>
        <v>Kritika Singh</v>
      </c>
      <c r="P16" s="52" t="str">
        <f t="shared" si="0"/>
        <v>Master Singh</v>
      </c>
      <c r="T16" s="53" t="s">
        <v>128</v>
      </c>
      <c r="U16" s="54" t="s">
        <v>129</v>
      </c>
      <c r="V16" s="54" t="s">
        <v>130</v>
      </c>
      <c r="W16" s="54" t="s">
        <v>131</v>
      </c>
      <c r="X16" s="54" t="s">
        <v>132</v>
      </c>
      <c r="Y16" s="54" t="s">
        <v>133</v>
      </c>
      <c r="Z16" s="54" t="s">
        <v>134</v>
      </c>
      <c r="AA16" s="54" t="s">
        <v>135</v>
      </c>
      <c r="AB16" s="54" t="s">
        <v>136</v>
      </c>
      <c r="AC16" s="52"/>
      <c r="AE16" s="59"/>
    </row>
    <row r="17" spans="1:30">
      <c r="A17" s="11">
        <v>16</v>
      </c>
      <c r="B17" s="67">
        <v>116</v>
      </c>
      <c r="C17" s="51" t="s">
        <v>151</v>
      </c>
      <c r="D17" s="51" t="s">
        <v>246</v>
      </c>
      <c r="E17" s="51" t="s">
        <v>317</v>
      </c>
      <c r="F17" s="71" t="s">
        <v>322</v>
      </c>
      <c r="G17" s="68">
        <v>45689</v>
      </c>
      <c r="H17" s="51">
        <v>55000</v>
      </c>
      <c r="I17" s="51">
        <v>55000</v>
      </c>
      <c r="J17" s="52" t="s">
        <v>323</v>
      </c>
      <c r="O17" s="11" t="str">
        <f t="shared" si="0"/>
        <v>Rupal Singh</v>
      </c>
      <c r="P17" s="52" t="str">
        <f t="shared" si="0"/>
        <v>Manoj Singh</v>
      </c>
      <c r="T17" s="12">
        <v>178</v>
      </c>
      <c r="U17" s="13" t="str">
        <f>VLOOKUP($T$17,$B$1:$J$101,MATCH(U16,$B$1:$J$1,0),0)</f>
        <v xml:space="preserve"> shruti tiwari</v>
      </c>
      <c r="V17" s="13" t="str">
        <f t="shared" ref="V17:AB17" si="3">VLOOKUP($T$17,$B$1:$J$101,MATCH(V16,$B$1:$J$1,0),0)</f>
        <v>rajan tiwari</v>
      </c>
      <c r="W17" s="13" t="str">
        <f t="shared" si="3"/>
        <v>female</v>
      </c>
      <c r="X17" s="13" t="str">
        <f t="shared" si="3"/>
        <v>B.Sc.</v>
      </c>
      <c r="Y17" s="13">
        <f t="shared" si="3"/>
        <v>45809</v>
      </c>
      <c r="Z17" s="13">
        <f t="shared" si="3"/>
        <v>55000</v>
      </c>
      <c r="AA17" s="13">
        <f t="shared" si="3"/>
        <v>50000</v>
      </c>
      <c r="AB17" s="13" t="str">
        <f t="shared" si="3"/>
        <v>Jharkhand</v>
      </c>
      <c r="AC17" s="56"/>
    </row>
    <row r="18" spans="1:30">
      <c r="A18" s="11">
        <v>17</v>
      </c>
      <c r="B18" s="67">
        <v>117</v>
      </c>
      <c r="C18" s="51" t="s">
        <v>152</v>
      </c>
      <c r="D18" s="51" t="s">
        <v>247</v>
      </c>
      <c r="E18" s="51" t="s">
        <v>316</v>
      </c>
      <c r="F18" s="71" t="s">
        <v>320</v>
      </c>
      <c r="G18" s="68">
        <v>45689</v>
      </c>
      <c r="H18" s="51">
        <v>80000</v>
      </c>
      <c r="I18" s="51">
        <v>78200</v>
      </c>
      <c r="J18" s="52" t="s">
        <v>324</v>
      </c>
      <c r="O18" s="11" t="str">
        <f t="shared" si="0"/>
        <v>Shivam Singh</v>
      </c>
      <c r="P18" s="52" t="str">
        <f t="shared" si="0"/>
        <v>Ravi Singh</v>
      </c>
    </row>
    <row r="19" spans="1:30" ht="15.75">
      <c r="A19" s="11">
        <v>18</v>
      </c>
      <c r="B19" s="67">
        <v>118</v>
      </c>
      <c r="C19" s="51" t="s">
        <v>153</v>
      </c>
      <c r="D19" s="51" t="s">
        <v>248</v>
      </c>
      <c r="E19" s="51" t="s">
        <v>316</v>
      </c>
      <c r="F19" s="71" t="s">
        <v>319</v>
      </c>
      <c r="G19" s="68">
        <v>45689</v>
      </c>
      <c r="H19" s="51">
        <v>42000</v>
      </c>
      <c r="I19" s="51">
        <v>41000</v>
      </c>
      <c r="J19" s="52" t="s">
        <v>326</v>
      </c>
      <c r="O19" s="11" t="str">
        <f t="shared" si="0"/>
        <v>Vishal Singh</v>
      </c>
      <c r="P19" s="52" t="str">
        <f t="shared" si="0"/>
        <v>Premprakash Singh</v>
      </c>
      <c r="T19" s="96" t="s">
        <v>338</v>
      </c>
      <c r="U19" s="97"/>
      <c r="V19" s="97"/>
      <c r="W19" s="97"/>
      <c r="X19" s="97"/>
      <c r="Y19" s="97"/>
      <c r="Z19" s="97"/>
      <c r="AA19" s="97"/>
      <c r="AB19" s="97"/>
      <c r="AC19" s="98"/>
    </row>
    <row r="20" spans="1:30" ht="15.75">
      <c r="A20" s="11">
        <v>19</v>
      </c>
      <c r="B20" s="67">
        <v>119</v>
      </c>
      <c r="C20" s="51" t="s">
        <v>154</v>
      </c>
      <c r="D20" s="51" t="s">
        <v>249</v>
      </c>
      <c r="E20" s="51" t="s">
        <v>316</v>
      </c>
      <c r="F20" s="71" t="s">
        <v>319</v>
      </c>
      <c r="G20" s="68">
        <v>45689</v>
      </c>
      <c r="H20" s="51">
        <v>42000</v>
      </c>
      <c r="I20" s="51">
        <v>39000</v>
      </c>
      <c r="J20" s="52" t="s">
        <v>324</v>
      </c>
      <c r="O20" s="11" t="str">
        <f t="shared" si="0"/>
        <v>Manish Kannojiya</v>
      </c>
      <c r="P20" s="52" t="str">
        <f t="shared" si="0"/>
        <v>Ashok Kannojiya</v>
      </c>
      <c r="T20" s="58" t="s">
        <v>129</v>
      </c>
      <c r="U20" s="13" t="str">
        <f>HLOOKUP(T20,B1:J101,55,0)</f>
        <v>rohan gupta</v>
      </c>
      <c r="V20" s="13"/>
      <c r="W20" s="13"/>
      <c r="X20" s="13"/>
      <c r="Y20" s="13"/>
      <c r="Z20" s="13"/>
      <c r="AA20" s="13"/>
      <c r="AB20" s="13"/>
      <c r="AC20" s="56"/>
    </row>
    <row r="21" spans="1:30">
      <c r="A21" s="11">
        <v>20</v>
      </c>
      <c r="B21" s="67">
        <v>120</v>
      </c>
      <c r="C21" s="51" t="s">
        <v>155</v>
      </c>
      <c r="D21" s="51" t="s">
        <v>250</v>
      </c>
      <c r="E21" s="51" t="s">
        <v>316</v>
      </c>
      <c r="F21" s="71" t="s">
        <v>321</v>
      </c>
      <c r="G21" s="68">
        <v>45717</v>
      </c>
      <c r="H21" s="51">
        <v>75000</v>
      </c>
      <c r="I21" s="51">
        <v>62800</v>
      </c>
      <c r="J21" s="52" t="s">
        <v>324</v>
      </c>
      <c r="O21" s="11" t="str">
        <f t="shared" si="0"/>
        <v xml:space="preserve">Amit Gupta </v>
      </c>
      <c r="P21" s="52" t="str">
        <f t="shared" si="0"/>
        <v>Parash Gupta</v>
      </c>
    </row>
    <row r="22" spans="1:30" ht="15.75" customHeight="1">
      <c r="A22" s="11">
        <v>21</v>
      </c>
      <c r="B22" s="67">
        <v>121</v>
      </c>
      <c r="C22" s="51" t="s">
        <v>156</v>
      </c>
      <c r="D22" s="51" t="s">
        <v>250</v>
      </c>
      <c r="E22" s="51" t="s">
        <v>316</v>
      </c>
      <c r="F22" s="71" t="s">
        <v>320</v>
      </c>
      <c r="G22" s="68">
        <v>45717</v>
      </c>
      <c r="H22" s="51">
        <v>80000</v>
      </c>
      <c r="I22" s="51">
        <v>78000</v>
      </c>
      <c r="J22" s="52" t="s">
        <v>325</v>
      </c>
      <c r="O22" s="11" t="str">
        <f t="shared" si="0"/>
        <v>Sumit Gupta</v>
      </c>
      <c r="P22" s="52" t="str">
        <f t="shared" si="0"/>
        <v>Parash Gupta</v>
      </c>
      <c r="T22" s="96" t="s">
        <v>339</v>
      </c>
      <c r="U22" s="97"/>
      <c r="V22" s="97"/>
      <c r="W22" s="97"/>
      <c r="X22" s="97"/>
      <c r="Y22" s="97"/>
      <c r="Z22" s="97"/>
      <c r="AA22" s="97"/>
      <c r="AB22" s="97"/>
      <c r="AC22" s="98"/>
      <c r="AD22" s="51"/>
    </row>
    <row r="23" spans="1:30">
      <c r="A23" s="11">
        <v>22</v>
      </c>
      <c r="B23" s="67">
        <v>122</v>
      </c>
      <c r="C23" s="51" t="s">
        <v>157</v>
      </c>
      <c r="D23" s="51" t="s">
        <v>251</v>
      </c>
      <c r="E23" s="51" t="s">
        <v>316</v>
      </c>
      <c r="F23" s="71" t="s">
        <v>319</v>
      </c>
      <c r="G23" s="68">
        <v>45717</v>
      </c>
      <c r="H23" s="51">
        <v>42000</v>
      </c>
      <c r="I23" s="51">
        <v>38000</v>
      </c>
      <c r="J23" s="52" t="s">
        <v>326</v>
      </c>
      <c r="O23" s="11" t="str">
        <f t="shared" si="0"/>
        <v>Sanjeev Kumar</v>
      </c>
      <c r="P23" s="52" t="str">
        <f t="shared" si="0"/>
        <v>Suresh Kumar</v>
      </c>
      <c r="T23" s="11" t="s">
        <v>130</v>
      </c>
      <c r="U23" s="51" t="str">
        <f>HLOOKUP(T23,B1:J101,MATCH(T24,B1:B101,0),0)</f>
        <v>mukhtar yadav</v>
      </c>
      <c r="V23" s="51"/>
      <c r="W23" s="51"/>
      <c r="X23" s="51"/>
      <c r="Y23" s="51"/>
      <c r="Z23" s="51"/>
      <c r="AA23" s="51"/>
      <c r="AB23" s="51"/>
      <c r="AC23" s="52"/>
      <c r="AD23" s="51"/>
    </row>
    <row r="24" spans="1:30">
      <c r="A24" s="11">
        <v>23</v>
      </c>
      <c r="B24" s="67">
        <v>123</v>
      </c>
      <c r="C24" s="51" t="s">
        <v>158</v>
      </c>
      <c r="D24" s="51" t="s">
        <v>252</v>
      </c>
      <c r="E24" s="51" t="s">
        <v>317</v>
      </c>
      <c r="F24" s="71" t="s">
        <v>322</v>
      </c>
      <c r="G24" s="68">
        <v>45717</v>
      </c>
      <c r="H24" s="51">
        <v>55000</v>
      </c>
      <c r="I24" s="51">
        <v>51000</v>
      </c>
      <c r="J24" s="52" t="s">
        <v>327</v>
      </c>
      <c r="O24" s="11" t="str">
        <f t="shared" si="0"/>
        <v>Avantika Singh</v>
      </c>
      <c r="P24" s="52" t="str">
        <f t="shared" si="0"/>
        <v>Tribhvan Singh</v>
      </c>
      <c r="T24" s="11">
        <v>112</v>
      </c>
      <c r="U24" s="51"/>
      <c r="V24" s="51"/>
      <c r="W24" s="51"/>
      <c r="X24" s="51"/>
      <c r="Y24" s="51"/>
      <c r="Z24" s="51"/>
      <c r="AA24" s="51"/>
      <c r="AB24" s="51"/>
      <c r="AC24" s="52"/>
    </row>
    <row r="25" spans="1:30">
      <c r="A25" s="11">
        <v>24</v>
      </c>
      <c r="B25" s="67">
        <v>124</v>
      </c>
      <c r="C25" s="51" t="s">
        <v>165</v>
      </c>
      <c r="D25" s="51" t="s">
        <v>253</v>
      </c>
      <c r="E25" s="51" t="s">
        <v>316</v>
      </c>
      <c r="F25" s="71" t="s">
        <v>321</v>
      </c>
      <c r="G25" s="68">
        <v>45717</v>
      </c>
      <c r="H25" s="51">
        <v>75000</v>
      </c>
      <c r="I25" s="51">
        <v>73000</v>
      </c>
      <c r="J25" s="52" t="s">
        <v>323</v>
      </c>
      <c r="O25" s="11" t="str">
        <f t="shared" si="0"/>
        <v>Krishnamohan Singh</v>
      </c>
      <c r="P25" s="52" t="str">
        <f t="shared" si="0"/>
        <v>Triveni Singh</v>
      </c>
      <c r="T25" s="12"/>
      <c r="U25" s="13"/>
      <c r="V25" s="13"/>
      <c r="W25" s="13"/>
      <c r="X25" s="13"/>
      <c r="Y25" s="13"/>
      <c r="Z25" s="13"/>
      <c r="AA25" s="13"/>
      <c r="AB25" s="13"/>
      <c r="AC25" s="56"/>
    </row>
    <row r="26" spans="1:30">
      <c r="A26" s="11">
        <v>25</v>
      </c>
      <c r="B26" s="67">
        <v>125</v>
      </c>
      <c r="C26" s="51" t="s">
        <v>159</v>
      </c>
      <c r="D26" s="51" t="s">
        <v>254</v>
      </c>
      <c r="E26" s="51" t="s">
        <v>317</v>
      </c>
      <c r="F26" s="71" t="s">
        <v>319</v>
      </c>
      <c r="G26" s="68">
        <v>45717</v>
      </c>
      <c r="H26" s="51">
        <v>42000</v>
      </c>
      <c r="I26" s="51">
        <v>29400</v>
      </c>
      <c r="J26" s="52" t="s">
        <v>325</v>
      </c>
      <c r="O26" s="11" t="str">
        <f t="shared" si="0"/>
        <v>Anchal Singh</v>
      </c>
      <c r="P26" s="52" t="str">
        <f t="shared" si="0"/>
        <v>Guddu Singh</v>
      </c>
    </row>
    <row r="27" spans="1:30" ht="15.75">
      <c r="A27" s="11">
        <v>26</v>
      </c>
      <c r="B27" s="67">
        <v>126</v>
      </c>
      <c r="C27" s="51" t="s">
        <v>160</v>
      </c>
      <c r="D27" s="51" t="s">
        <v>255</v>
      </c>
      <c r="E27" s="51" t="s">
        <v>316</v>
      </c>
      <c r="F27" s="71" t="s">
        <v>322</v>
      </c>
      <c r="G27" s="68">
        <v>45717</v>
      </c>
      <c r="H27" s="51">
        <v>55000</v>
      </c>
      <c r="I27" s="51">
        <v>52000</v>
      </c>
      <c r="J27" s="52" t="s">
        <v>327</v>
      </c>
      <c r="O27" s="11" t="str">
        <f t="shared" si="0"/>
        <v>Munnan Singh</v>
      </c>
      <c r="P27" s="52" t="str">
        <f t="shared" si="0"/>
        <v>Kalika Singh</v>
      </c>
      <c r="T27" s="96" t="s">
        <v>340</v>
      </c>
      <c r="U27" s="97"/>
      <c r="V27" s="97"/>
      <c r="W27" s="97"/>
      <c r="X27" s="97"/>
      <c r="Y27" s="97"/>
      <c r="Z27" s="97"/>
      <c r="AA27" s="97"/>
      <c r="AB27" s="97"/>
      <c r="AC27" s="98"/>
    </row>
    <row r="28" spans="1:30">
      <c r="A28" s="11">
        <v>27</v>
      </c>
      <c r="B28" s="67">
        <v>127</v>
      </c>
      <c r="C28" s="51" t="s">
        <v>161</v>
      </c>
      <c r="D28" s="51" t="s">
        <v>256</v>
      </c>
      <c r="E28" s="51" t="s">
        <v>316</v>
      </c>
      <c r="F28" s="71" t="s">
        <v>319</v>
      </c>
      <c r="G28" s="68">
        <v>45717</v>
      </c>
      <c r="H28" s="51">
        <v>42000</v>
      </c>
      <c r="I28" s="51">
        <v>42000</v>
      </c>
      <c r="J28" s="52" t="s">
        <v>324</v>
      </c>
      <c r="O28" s="11" t="str">
        <f t="shared" si="0"/>
        <v>Rabindranath Singh</v>
      </c>
      <c r="P28" s="52" t="str">
        <f t="shared" si="0"/>
        <v>Kashi Singh</v>
      </c>
      <c r="T28" s="63" t="s">
        <v>341</v>
      </c>
      <c r="U28" s="51" t="str">
        <f>INDEX(C1:C101,28)</f>
        <v>rabindranath singh</v>
      </c>
      <c r="V28" s="51"/>
      <c r="W28" s="51"/>
      <c r="X28" s="51"/>
      <c r="Y28" s="51"/>
      <c r="Z28" s="51"/>
      <c r="AA28" s="51"/>
      <c r="AB28" s="51"/>
      <c r="AC28" s="52"/>
    </row>
    <row r="29" spans="1:30">
      <c r="A29" s="11">
        <v>28</v>
      </c>
      <c r="B29" s="67">
        <v>128</v>
      </c>
      <c r="C29" s="51" t="s">
        <v>162</v>
      </c>
      <c r="D29" s="51" t="s">
        <v>257</v>
      </c>
      <c r="E29" s="51" t="s">
        <v>316</v>
      </c>
      <c r="F29" s="71" t="s">
        <v>322</v>
      </c>
      <c r="G29" s="68">
        <v>45717</v>
      </c>
      <c r="H29" s="51">
        <v>55000</v>
      </c>
      <c r="I29" s="51">
        <v>52000</v>
      </c>
      <c r="J29" s="52" t="s">
        <v>325</v>
      </c>
      <c r="O29" s="11" t="str">
        <f t="shared" si="0"/>
        <v>Sanjay Upadhayay</v>
      </c>
      <c r="P29" s="52" t="str">
        <f t="shared" si="0"/>
        <v>Kali Upadhayay</v>
      </c>
      <c r="T29" s="11"/>
      <c r="U29" s="51"/>
      <c r="V29" s="51"/>
      <c r="W29" s="51"/>
      <c r="X29" s="51"/>
      <c r="Y29" s="51"/>
      <c r="Z29" s="51"/>
      <c r="AA29" s="51"/>
      <c r="AB29" s="51"/>
      <c r="AC29" s="52"/>
    </row>
    <row r="30" spans="1:30">
      <c r="A30" s="11">
        <v>29</v>
      </c>
      <c r="B30" s="67">
        <v>129</v>
      </c>
      <c r="C30" s="51" t="s">
        <v>163</v>
      </c>
      <c r="D30" s="51" t="s">
        <v>258</v>
      </c>
      <c r="E30" s="51" t="s">
        <v>316</v>
      </c>
      <c r="F30" s="71" t="s">
        <v>320</v>
      </c>
      <c r="G30" s="68">
        <v>45717</v>
      </c>
      <c r="H30" s="51">
        <v>80000</v>
      </c>
      <c r="I30" s="51">
        <v>80000</v>
      </c>
      <c r="J30" s="52" t="s">
        <v>323</v>
      </c>
      <c r="O30" s="11" t="str">
        <f t="shared" si="0"/>
        <v>Chhote Singh</v>
      </c>
      <c r="P30" s="52" t="str">
        <f t="shared" si="0"/>
        <v>Dadhi Singh</v>
      </c>
      <c r="T30" s="63" t="s">
        <v>342</v>
      </c>
      <c r="U30" s="51" t="str">
        <f>INDEX(B1:J101,28,5)</f>
        <v>B.Com(H)</v>
      </c>
      <c r="V30" s="51"/>
      <c r="W30" s="51"/>
      <c r="X30" s="51"/>
      <c r="Y30" s="51"/>
      <c r="Z30" s="51"/>
      <c r="AA30" s="51"/>
      <c r="AB30" s="51"/>
      <c r="AC30" s="52"/>
    </row>
    <row r="31" spans="1:30">
      <c r="A31" s="11">
        <v>30</v>
      </c>
      <c r="B31" s="67">
        <v>130</v>
      </c>
      <c r="C31" s="51" t="s">
        <v>164</v>
      </c>
      <c r="D31" s="51" t="s">
        <v>259</v>
      </c>
      <c r="E31" s="51" t="s">
        <v>316</v>
      </c>
      <c r="F31" s="71" t="s">
        <v>321</v>
      </c>
      <c r="G31" s="68">
        <v>45717</v>
      </c>
      <c r="H31" s="51">
        <v>75000</v>
      </c>
      <c r="I31" s="51">
        <v>75000</v>
      </c>
      <c r="J31" s="52" t="s">
        <v>323</v>
      </c>
      <c r="O31" s="11" t="str">
        <f t="shared" si="0"/>
        <v>Virendra Pratap Singh</v>
      </c>
      <c r="P31" s="52" t="str">
        <f t="shared" si="0"/>
        <v>Ashok Singh</v>
      </c>
      <c r="T31" s="12"/>
      <c r="U31" s="13"/>
      <c r="V31" s="13"/>
      <c r="W31" s="13"/>
      <c r="X31" s="13"/>
      <c r="Y31" s="13"/>
      <c r="Z31" s="13"/>
      <c r="AA31" s="13"/>
      <c r="AB31" s="13"/>
      <c r="AC31" s="56"/>
    </row>
    <row r="32" spans="1:30">
      <c r="A32" s="11"/>
      <c r="B32" s="67">
        <v>131</v>
      </c>
      <c r="C32" s="51" t="s">
        <v>166</v>
      </c>
      <c r="D32" s="51" t="s">
        <v>260</v>
      </c>
      <c r="E32" s="51" t="s">
        <v>316</v>
      </c>
      <c r="F32" s="71" t="s">
        <v>319</v>
      </c>
      <c r="G32" s="68">
        <v>45717</v>
      </c>
      <c r="H32" s="51">
        <v>42000</v>
      </c>
      <c r="I32" s="51">
        <v>38000</v>
      </c>
      <c r="J32" s="52" t="s">
        <v>324</v>
      </c>
      <c r="O32" s="11" t="str">
        <f t="shared" si="0"/>
        <v>Bade Singh</v>
      </c>
      <c r="P32" s="52" t="str">
        <f t="shared" si="0"/>
        <v>Bhola Singh</v>
      </c>
    </row>
    <row r="33" spans="1:29" ht="15.75">
      <c r="A33" s="11">
        <v>32</v>
      </c>
      <c r="B33" s="67">
        <v>132</v>
      </c>
      <c r="C33" s="51" t="s">
        <v>167</v>
      </c>
      <c r="D33" s="51" t="s">
        <v>261</v>
      </c>
      <c r="E33" s="51" t="s">
        <v>316</v>
      </c>
      <c r="F33" s="71" t="s">
        <v>322</v>
      </c>
      <c r="G33" s="68">
        <v>45717</v>
      </c>
      <c r="H33" s="51">
        <v>55000</v>
      </c>
      <c r="I33" s="51">
        <v>55000</v>
      </c>
      <c r="J33" s="52" t="s">
        <v>325</v>
      </c>
      <c r="O33" s="11" t="str">
        <f t="shared" si="0"/>
        <v>Shera Singh</v>
      </c>
      <c r="P33" s="52" t="str">
        <f t="shared" si="0"/>
        <v>Munna Singh</v>
      </c>
      <c r="T33" s="96" t="s">
        <v>343</v>
      </c>
      <c r="U33" s="97"/>
      <c r="V33" s="97"/>
      <c r="W33" s="97"/>
      <c r="X33" s="97"/>
      <c r="Y33" s="97"/>
      <c r="Z33" s="97"/>
      <c r="AA33" s="97"/>
      <c r="AB33" s="97"/>
      <c r="AC33" s="98"/>
    </row>
    <row r="34" spans="1:29" ht="15.75">
      <c r="A34" s="11">
        <v>33</v>
      </c>
      <c r="B34" s="67">
        <v>133</v>
      </c>
      <c r="C34" s="51" t="s">
        <v>168</v>
      </c>
      <c r="D34" s="51" t="s">
        <v>141</v>
      </c>
      <c r="E34" s="51" t="s">
        <v>316</v>
      </c>
      <c r="F34" s="71" t="s">
        <v>319</v>
      </c>
      <c r="G34" s="68">
        <v>45717</v>
      </c>
      <c r="H34" s="51">
        <v>42000</v>
      </c>
      <c r="I34" s="51">
        <v>36000</v>
      </c>
      <c r="J34" s="52" t="s">
        <v>325</v>
      </c>
      <c r="O34" s="11" t="str">
        <f t="shared" si="0"/>
        <v>Atul Singh</v>
      </c>
      <c r="P34" s="52" t="str">
        <f t="shared" si="0"/>
        <v>Anil Singh</v>
      </c>
      <c r="T34" s="53" t="s">
        <v>136</v>
      </c>
      <c r="U34" s="51"/>
      <c r="V34" s="51"/>
      <c r="W34" s="51"/>
      <c r="X34" s="51"/>
      <c r="Y34" s="51"/>
      <c r="Z34" s="51"/>
      <c r="AA34" s="51"/>
      <c r="AB34" s="51"/>
      <c r="AC34" s="52"/>
    </row>
    <row r="35" spans="1:29">
      <c r="A35" s="11">
        <v>34</v>
      </c>
      <c r="B35" s="67">
        <v>134</v>
      </c>
      <c r="C35" s="51" t="s">
        <v>169</v>
      </c>
      <c r="D35" s="51" t="s">
        <v>262</v>
      </c>
      <c r="E35" s="51" t="s">
        <v>316</v>
      </c>
      <c r="F35" s="71" t="s">
        <v>322</v>
      </c>
      <c r="G35" s="68">
        <v>45717</v>
      </c>
      <c r="H35" s="51">
        <v>55000</v>
      </c>
      <c r="I35" s="51">
        <v>55000</v>
      </c>
      <c r="J35" s="52" t="s">
        <v>324</v>
      </c>
      <c r="O35" s="11" t="str">
        <f t="shared" si="0"/>
        <v>Anil Rajbhar</v>
      </c>
      <c r="P35" s="52" t="str">
        <f t="shared" si="0"/>
        <v>Sunil Rajbhar</v>
      </c>
      <c r="T35" s="11">
        <v>112</v>
      </c>
      <c r="U35" s="51" t="str">
        <f>INDEX(B1:J101,MATCH(T35,B1:B101,0),MATCH(T34,B1:J1,0))</f>
        <v>Gujrat</v>
      </c>
      <c r="V35" s="51"/>
      <c r="W35" s="51"/>
      <c r="X35" s="51"/>
      <c r="Y35" s="51"/>
      <c r="Z35" s="51"/>
      <c r="AA35" s="51"/>
      <c r="AB35" s="51"/>
      <c r="AC35" s="52"/>
    </row>
    <row r="36" spans="1:29">
      <c r="A36" s="11">
        <v>35</v>
      </c>
      <c r="B36" s="67">
        <v>135</v>
      </c>
      <c r="C36" s="51" t="s">
        <v>170</v>
      </c>
      <c r="D36" s="51" t="s">
        <v>263</v>
      </c>
      <c r="E36" s="51" t="s">
        <v>316</v>
      </c>
      <c r="F36" s="71" t="s">
        <v>320</v>
      </c>
      <c r="G36" s="68">
        <v>45748</v>
      </c>
      <c r="H36" s="51">
        <v>80000</v>
      </c>
      <c r="I36" s="51">
        <v>75000</v>
      </c>
      <c r="J36" s="52" t="s">
        <v>323</v>
      </c>
      <c r="O36" s="11" t="str">
        <f t="shared" si="0"/>
        <v>Shivpratap Singh</v>
      </c>
      <c r="P36" s="52" t="str">
        <f t="shared" si="0"/>
        <v>Prabhudev Singh</v>
      </c>
      <c r="T36" s="12"/>
      <c r="U36" s="13"/>
      <c r="V36" s="13"/>
      <c r="W36" s="13"/>
      <c r="X36" s="13"/>
      <c r="Y36" s="13"/>
      <c r="Z36" s="13"/>
      <c r="AA36" s="13"/>
      <c r="AB36" s="13"/>
      <c r="AC36" s="56"/>
    </row>
    <row r="37" spans="1:29">
      <c r="A37" s="11">
        <v>36</v>
      </c>
      <c r="B37" s="67">
        <v>136</v>
      </c>
      <c r="C37" s="51" t="s">
        <v>224</v>
      </c>
      <c r="D37" s="51" t="s">
        <v>264</v>
      </c>
      <c r="E37" s="51" t="s">
        <v>316</v>
      </c>
      <c r="F37" s="71" t="s">
        <v>322</v>
      </c>
      <c r="G37" s="68">
        <v>45748</v>
      </c>
      <c r="H37" s="51">
        <v>55000</v>
      </c>
      <c r="I37" s="51">
        <v>43000</v>
      </c>
      <c r="J37" s="52" t="s">
        <v>325</v>
      </c>
      <c r="O37" s="11" t="str">
        <f t="shared" si="0"/>
        <v>Teja Yadav</v>
      </c>
      <c r="P37" s="52" t="str">
        <f t="shared" si="0"/>
        <v>Munna Yadav</v>
      </c>
    </row>
    <row r="38" spans="1:29" ht="15.75">
      <c r="A38" s="11">
        <v>37</v>
      </c>
      <c r="B38" s="67">
        <v>137</v>
      </c>
      <c r="C38" s="51" t="s">
        <v>171</v>
      </c>
      <c r="D38" s="51" t="s">
        <v>265</v>
      </c>
      <c r="E38" s="51" t="s">
        <v>317</v>
      </c>
      <c r="F38" s="71" t="s">
        <v>319</v>
      </c>
      <c r="G38" s="68">
        <v>45748</v>
      </c>
      <c r="H38" s="51">
        <v>42000</v>
      </c>
      <c r="I38" s="51">
        <v>42000</v>
      </c>
      <c r="J38" s="52" t="s">
        <v>326</v>
      </c>
      <c r="O38" s="11" t="str">
        <f t="shared" si="0"/>
        <v>Alisha Parveen</v>
      </c>
      <c r="P38" s="52" t="str">
        <f t="shared" si="0"/>
        <v>Ajeet Khan</v>
      </c>
      <c r="T38" s="96" t="s">
        <v>344</v>
      </c>
      <c r="U38" s="97"/>
      <c r="V38" s="97"/>
      <c r="W38" s="97"/>
      <c r="X38" s="97"/>
      <c r="Y38" s="97"/>
      <c r="Z38" s="97"/>
      <c r="AA38" s="97"/>
      <c r="AB38" s="97"/>
      <c r="AC38" s="98"/>
    </row>
    <row r="39" spans="1:29">
      <c r="A39" s="11">
        <v>38</v>
      </c>
      <c r="B39" s="67">
        <v>138</v>
      </c>
      <c r="C39" s="51" t="s">
        <v>172</v>
      </c>
      <c r="D39" s="51" t="s">
        <v>266</v>
      </c>
      <c r="E39" s="51" t="s">
        <v>316</v>
      </c>
      <c r="F39" s="71" t="s">
        <v>320</v>
      </c>
      <c r="G39" s="68">
        <v>45748</v>
      </c>
      <c r="H39" s="51">
        <v>80000</v>
      </c>
      <c r="I39" s="51">
        <v>80000</v>
      </c>
      <c r="J39" s="52" t="s">
        <v>323</v>
      </c>
      <c r="O39" s="11" t="str">
        <f t="shared" si="0"/>
        <v>Aman Gupta</v>
      </c>
      <c r="P39" s="52" t="str">
        <f t="shared" si="0"/>
        <v>Raju Gupta</v>
      </c>
      <c r="T39" s="11" t="s">
        <v>129</v>
      </c>
      <c r="U39" s="51"/>
      <c r="V39" s="51"/>
      <c r="W39" s="51"/>
      <c r="X39" s="51"/>
      <c r="Y39" s="51"/>
      <c r="Z39" s="51"/>
      <c r="AA39" s="51"/>
      <c r="AB39" s="51"/>
      <c r="AC39" s="52"/>
    </row>
    <row r="40" spans="1:29">
      <c r="A40" s="11">
        <v>39</v>
      </c>
      <c r="B40" s="67">
        <v>139</v>
      </c>
      <c r="C40" s="51" t="s">
        <v>173</v>
      </c>
      <c r="D40" s="51" t="s">
        <v>267</v>
      </c>
      <c r="E40" s="51" t="s">
        <v>316</v>
      </c>
      <c r="F40" s="71" t="s">
        <v>322</v>
      </c>
      <c r="G40" s="68">
        <v>45748</v>
      </c>
      <c r="H40" s="51">
        <v>55000</v>
      </c>
      <c r="I40" s="51">
        <v>48000</v>
      </c>
      <c r="J40" s="52" t="s">
        <v>326</v>
      </c>
      <c r="O40" s="11" t="str">
        <f t="shared" si="0"/>
        <v>Shrinivash Kushwaha</v>
      </c>
      <c r="P40" s="52" t="str">
        <f t="shared" si="0"/>
        <v>Guddu Kushwaha</v>
      </c>
      <c r="T40" s="11">
        <v>175</v>
      </c>
      <c r="U40" s="51" t="str">
        <f>IFERROR(INDEX(B1:J101,MATCH(T40,B1:B101,0),MATCH(T39,B1:J1,0)),"wrong input")</f>
        <v>priyanshu singh</v>
      </c>
      <c r="V40" s="51"/>
      <c r="W40" s="51"/>
      <c r="X40" s="51"/>
      <c r="Y40" s="51"/>
      <c r="Z40" s="51"/>
      <c r="AA40" s="51"/>
      <c r="AB40" s="51"/>
      <c r="AC40" s="52"/>
    </row>
    <row r="41" spans="1:29">
      <c r="A41" s="11">
        <v>40</v>
      </c>
      <c r="B41" s="67">
        <v>140</v>
      </c>
      <c r="C41" s="51" t="s">
        <v>174</v>
      </c>
      <c r="D41" s="51" t="s">
        <v>268</v>
      </c>
      <c r="E41" s="51" t="s">
        <v>316</v>
      </c>
      <c r="F41" s="71" t="s">
        <v>319</v>
      </c>
      <c r="G41" s="68">
        <v>45748</v>
      </c>
      <c r="H41" s="51">
        <v>42000</v>
      </c>
      <c r="I41" s="51">
        <v>40000</v>
      </c>
      <c r="J41" s="52" t="s">
        <v>327</v>
      </c>
      <c r="O41" s="11" t="str">
        <f t="shared" si="0"/>
        <v>Shahbaz Khan</v>
      </c>
      <c r="P41" s="52" t="str">
        <f t="shared" si="0"/>
        <v>Manoj Khan</v>
      </c>
      <c r="T41" s="12"/>
      <c r="U41" s="13"/>
      <c r="V41" s="13"/>
      <c r="W41" s="13"/>
      <c r="X41" s="13"/>
      <c r="Y41" s="13"/>
      <c r="Z41" s="13"/>
      <c r="AA41" s="13"/>
      <c r="AB41" s="13"/>
      <c r="AC41" s="56"/>
    </row>
    <row r="42" spans="1:29">
      <c r="A42" s="11">
        <v>41</v>
      </c>
      <c r="B42" s="67">
        <v>141</v>
      </c>
      <c r="C42" s="51" t="s">
        <v>175</v>
      </c>
      <c r="D42" s="51" t="s">
        <v>269</v>
      </c>
      <c r="E42" s="51" t="s">
        <v>316</v>
      </c>
      <c r="F42" s="71" t="s">
        <v>322</v>
      </c>
      <c r="G42" s="68">
        <v>45748</v>
      </c>
      <c r="H42" s="51">
        <v>55000</v>
      </c>
      <c r="I42" s="51">
        <v>50000</v>
      </c>
      <c r="J42" s="52" t="s">
        <v>324</v>
      </c>
      <c r="O42" s="11" t="str">
        <f t="shared" si="0"/>
        <v>Deepu Kannojiya</v>
      </c>
      <c r="P42" s="52" t="str">
        <f t="shared" si="0"/>
        <v>Kanta Kannojiya</v>
      </c>
    </row>
    <row r="43" spans="1:29" ht="15.75">
      <c r="A43" s="11">
        <v>42</v>
      </c>
      <c r="B43" s="67">
        <v>142</v>
      </c>
      <c r="C43" s="51" t="s">
        <v>176</v>
      </c>
      <c r="D43" s="51" t="s">
        <v>270</v>
      </c>
      <c r="E43" s="51" t="s">
        <v>316</v>
      </c>
      <c r="F43" s="71" t="s">
        <v>322</v>
      </c>
      <c r="G43" s="68">
        <v>45748</v>
      </c>
      <c r="H43" s="51">
        <v>55000</v>
      </c>
      <c r="I43" s="51">
        <v>50000</v>
      </c>
      <c r="J43" s="52" t="s">
        <v>323</v>
      </c>
      <c r="O43" s="11" t="str">
        <f t="shared" si="0"/>
        <v>Mritunjay</v>
      </c>
      <c r="P43" s="52" t="str">
        <f t="shared" si="0"/>
        <v>Abhay</v>
      </c>
      <c r="T43" s="96" t="s">
        <v>345</v>
      </c>
      <c r="U43" s="97"/>
      <c r="V43" s="97"/>
      <c r="W43" s="97"/>
      <c r="X43" s="97"/>
      <c r="Y43" s="97"/>
      <c r="Z43" s="97"/>
      <c r="AA43" s="97"/>
      <c r="AB43" s="97"/>
      <c r="AC43" s="98"/>
    </row>
    <row r="44" spans="1:29" ht="15.75">
      <c r="A44" s="11">
        <v>43</v>
      </c>
      <c r="B44" s="67">
        <v>143</v>
      </c>
      <c r="C44" s="51" t="s">
        <v>177</v>
      </c>
      <c r="D44" s="51" t="s">
        <v>271</v>
      </c>
      <c r="E44" s="51" t="s">
        <v>316</v>
      </c>
      <c r="F44" s="71" t="s">
        <v>319</v>
      </c>
      <c r="G44" s="68">
        <v>45748</v>
      </c>
      <c r="H44" s="51">
        <v>42000</v>
      </c>
      <c r="I44" s="51">
        <v>40000</v>
      </c>
      <c r="J44" s="52" t="s">
        <v>324</v>
      </c>
      <c r="O44" s="11" t="str">
        <f t="shared" si="0"/>
        <v>Vipin Yadav</v>
      </c>
      <c r="P44" s="52" t="str">
        <f t="shared" si="0"/>
        <v>Mannan Yadav</v>
      </c>
      <c r="T44" s="53" t="s">
        <v>128</v>
      </c>
      <c r="U44" s="54" t="s">
        <v>129</v>
      </c>
      <c r="V44" s="54" t="s">
        <v>130</v>
      </c>
      <c r="W44" s="54" t="s">
        <v>131</v>
      </c>
      <c r="X44" s="54" t="s">
        <v>132</v>
      </c>
      <c r="Y44" s="54" t="s">
        <v>133</v>
      </c>
      <c r="Z44" s="54" t="s">
        <v>134</v>
      </c>
      <c r="AA44" s="54" t="s">
        <v>135</v>
      </c>
      <c r="AB44" s="54" t="s">
        <v>136</v>
      </c>
      <c r="AC44" s="52"/>
    </row>
    <row r="45" spans="1:29">
      <c r="A45" s="11">
        <v>44</v>
      </c>
      <c r="B45" s="67">
        <v>144</v>
      </c>
      <c r="C45" s="51" t="s">
        <v>178</v>
      </c>
      <c r="D45" s="51" t="s">
        <v>272</v>
      </c>
      <c r="E45" s="51" t="s">
        <v>317</v>
      </c>
      <c r="F45" s="71" t="s">
        <v>322</v>
      </c>
      <c r="G45" s="68">
        <v>45748</v>
      </c>
      <c r="H45" s="51">
        <v>55000</v>
      </c>
      <c r="I45" s="51">
        <v>55000</v>
      </c>
      <c r="J45" s="52" t="s">
        <v>325</v>
      </c>
      <c r="O45" s="11" t="str">
        <f t="shared" si="0"/>
        <v>Shama Parvin</v>
      </c>
      <c r="P45" s="52" t="str">
        <f t="shared" si="0"/>
        <v>Jafar Khan</v>
      </c>
      <c r="T45" s="11">
        <v>145</v>
      </c>
      <c r="U45" s="51" t="str">
        <f>IFERROR(VLOOKUP($T$45,$B$1:$J$101,MATCH(U44,$B$1:$J$1,0),0),"wrong input")</f>
        <v>saif ali</v>
      </c>
      <c r="V45" s="51" t="str">
        <f t="shared" ref="V45:AB45" si="4">IFERROR(VLOOKUP($T$45,$B$1:$J$101,MATCH(V44,$B$1:$J$1,0),0),"wrong input")</f>
        <v>zafar ali</v>
      </c>
      <c r="W45" s="51" t="str">
        <f t="shared" si="4"/>
        <v>male</v>
      </c>
      <c r="X45" s="51" t="str">
        <f t="shared" si="4"/>
        <v>B.Sc.</v>
      </c>
      <c r="Y45" s="51">
        <f t="shared" si="4"/>
        <v>45748</v>
      </c>
      <c r="Z45" s="51">
        <f t="shared" si="4"/>
        <v>55000</v>
      </c>
      <c r="AA45" s="51">
        <f t="shared" si="4"/>
        <v>48000</v>
      </c>
      <c r="AB45" s="51" t="str">
        <f t="shared" si="4"/>
        <v>Gujrat</v>
      </c>
      <c r="AC45" s="52"/>
    </row>
    <row r="46" spans="1:29">
      <c r="A46" s="11">
        <v>45</v>
      </c>
      <c r="B46" s="67">
        <v>145</v>
      </c>
      <c r="C46" s="51" t="s">
        <v>179</v>
      </c>
      <c r="D46" s="51" t="s">
        <v>273</v>
      </c>
      <c r="E46" s="51" t="s">
        <v>316</v>
      </c>
      <c r="F46" s="71" t="s">
        <v>322</v>
      </c>
      <c r="G46" s="68">
        <v>45748</v>
      </c>
      <c r="H46" s="51">
        <v>55000</v>
      </c>
      <c r="I46" s="51">
        <v>48000</v>
      </c>
      <c r="J46" s="52" t="s">
        <v>327</v>
      </c>
      <c r="O46" s="11" t="str">
        <f t="shared" si="0"/>
        <v>Saif Ali</v>
      </c>
      <c r="P46" s="52" t="str">
        <f t="shared" si="0"/>
        <v>Zafar Ali</v>
      </c>
      <c r="T46" s="12"/>
      <c r="U46" s="13"/>
      <c r="V46" s="13"/>
      <c r="W46" s="13"/>
      <c r="X46" s="13"/>
      <c r="Y46" s="13"/>
      <c r="Z46" s="13"/>
      <c r="AA46" s="13"/>
      <c r="AB46" s="13"/>
      <c r="AC46" s="56"/>
    </row>
    <row r="47" spans="1:29">
      <c r="A47" s="11">
        <v>46</v>
      </c>
      <c r="B47" s="67">
        <v>146</v>
      </c>
      <c r="C47" s="51" t="s">
        <v>180</v>
      </c>
      <c r="D47" s="51" t="s">
        <v>274</v>
      </c>
      <c r="E47" s="51" t="s">
        <v>316</v>
      </c>
      <c r="F47" s="71" t="s">
        <v>321</v>
      </c>
      <c r="G47" s="68">
        <v>45748</v>
      </c>
      <c r="H47" s="51">
        <v>75000</v>
      </c>
      <c r="I47" s="51">
        <v>75000</v>
      </c>
      <c r="J47" s="52" t="s">
        <v>323</v>
      </c>
      <c r="O47" s="11" t="str">
        <f t="shared" si="0"/>
        <v>Sarfaraj Yadav</v>
      </c>
      <c r="P47" s="52" t="str">
        <f t="shared" si="0"/>
        <v>Zawahir Yadav</v>
      </c>
    </row>
    <row r="48" spans="1:29" ht="15.75">
      <c r="A48" s="11">
        <v>47</v>
      </c>
      <c r="B48" s="67">
        <v>147</v>
      </c>
      <c r="C48" s="51" t="s">
        <v>181</v>
      </c>
      <c r="D48" s="51" t="s">
        <v>275</v>
      </c>
      <c r="E48" s="51" t="s">
        <v>316</v>
      </c>
      <c r="F48" s="71" t="s">
        <v>322</v>
      </c>
      <c r="G48" s="68">
        <v>45748</v>
      </c>
      <c r="H48" s="51">
        <v>55000</v>
      </c>
      <c r="I48" s="51">
        <v>55000</v>
      </c>
      <c r="J48" s="52" t="s">
        <v>323</v>
      </c>
      <c r="O48" s="11" t="str">
        <f t="shared" si="0"/>
        <v>Ramkishun Yadav</v>
      </c>
      <c r="P48" s="52" t="str">
        <f t="shared" si="0"/>
        <v>Lallan Yadav</v>
      </c>
      <c r="T48" s="96" t="s">
        <v>346</v>
      </c>
      <c r="U48" s="97"/>
      <c r="V48" s="97"/>
      <c r="W48" s="97"/>
      <c r="X48" s="97"/>
      <c r="Y48" s="97"/>
      <c r="Z48" s="97"/>
      <c r="AA48" s="97"/>
      <c r="AB48" s="97"/>
      <c r="AC48" s="98"/>
    </row>
    <row r="49" spans="1:29" ht="15.75">
      <c r="A49" s="11">
        <v>48</v>
      </c>
      <c r="B49" s="67">
        <v>148</v>
      </c>
      <c r="C49" s="51" t="s">
        <v>182</v>
      </c>
      <c r="D49" s="51" t="s">
        <v>276</v>
      </c>
      <c r="E49" s="51" t="s">
        <v>316</v>
      </c>
      <c r="F49" s="71" t="s">
        <v>322</v>
      </c>
      <c r="G49" s="68">
        <v>45748</v>
      </c>
      <c r="H49" s="51">
        <v>55000</v>
      </c>
      <c r="I49" s="51">
        <v>55000</v>
      </c>
      <c r="J49" s="52" t="s">
        <v>323</v>
      </c>
      <c r="O49" s="11" t="str">
        <f t="shared" si="0"/>
        <v>Manoj Rajbhar</v>
      </c>
      <c r="P49" s="52" t="str">
        <f t="shared" si="0"/>
        <v>Lallan Rajbhar</v>
      </c>
      <c r="T49" s="53" t="s">
        <v>128</v>
      </c>
      <c r="U49" s="54" t="s">
        <v>129</v>
      </c>
      <c r="V49" s="54" t="s">
        <v>130</v>
      </c>
      <c r="W49" s="54" t="s">
        <v>131</v>
      </c>
      <c r="X49" s="54" t="s">
        <v>132</v>
      </c>
      <c r="Y49" s="54" t="s">
        <v>133</v>
      </c>
      <c r="Z49" s="54" t="s">
        <v>134</v>
      </c>
      <c r="AA49" s="54" t="s">
        <v>135</v>
      </c>
      <c r="AB49" s="54" t="s">
        <v>136</v>
      </c>
      <c r="AC49" s="52"/>
    </row>
    <row r="50" spans="1:29">
      <c r="A50" s="11">
        <v>49</v>
      </c>
      <c r="B50" s="67">
        <v>149</v>
      </c>
      <c r="C50" s="51" t="s">
        <v>183</v>
      </c>
      <c r="D50" s="51" t="s">
        <v>277</v>
      </c>
      <c r="E50" s="51" t="s">
        <v>316</v>
      </c>
      <c r="F50" s="71" t="s">
        <v>320</v>
      </c>
      <c r="G50" s="68">
        <v>45748</v>
      </c>
      <c r="H50" s="51">
        <v>80000</v>
      </c>
      <c r="I50" s="51">
        <v>80000</v>
      </c>
      <c r="J50" s="52" t="s">
        <v>323</v>
      </c>
      <c r="O50" s="11" t="str">
        <f t="shared" si="0"/>
        <v>Brijesh Yadav</v>
      </c>
      <c r="P50" s="52" t="str">
        <f t="shared" si="0"/>
        <v>Thakur Yadav</v>
      </c>
      <c r="T50" s="11">
        <v>175</v>
      </c>
      <c r="U50" s="51" t="str">
        <f>DGET($B$1:$J$101,U49,$T$49:$T$50)</f>
        <v>priyanshu singh</v>
      </c>
      <c r="V50" s="51" t="str">
        <f t="shared" ref="V50:AB50" si="5">DGET($B$1:$J$101,V49,$T$49:$T$50)</f>
        <v>premprakash singh</v>
      </c>
      <c r="W50" s="51" t="str">
        <f t="shared" si="5"/>
        <v>male</v>
      </c>
      <c r="X50" s="51" t="str">
        <f t="shared" si="5"/>
        <v>B.Com(H)</v>
      </c>
      <c r="Y50" s="51">
        <f t="shared" si="5"/>
        <v>45809</v>
      </c>
      <c r="Z50" s="51">
        <f t="shared" si="5"/>
        <v>42000</v>
      </c>
      <c r="AA50" s="51">
        <f t="shared" si="5"/>
        <v>40000</v>
      </c>
      <c r="AB50" s="51" t="str">
        <f t="shared" si="5"/>
        <v>U.P.</v>
      </c>
      <c r="AC50" s="52"/>
    </row>
    <row r="51" spans="1:29">
      <c r="A51" s="11">
        <v>50</v>
      </c>
      <c r="B51" s="67">
        <v>150</v>
      </c>
      <c r="C51" s="51" t="s">
        <v>184</v>
      </c>
      <c r="D51" s="51" t="s">
        <v>278</v>
      </c>
      <c r="E51" s="51" t="s">
        <v>316</v>
      </c>
      <c r="F51" s="71" t="s">
        <v>322</v>
      </c>
      <c r="G51" s="68">
        <v>45748</v>
      </c>
      <c r="H51" s="51">
        <v>55000</v>
      </c>
      <c r="I51" s="51">
        <v>55000</v>
      </c>
      <c r="J51" s="52" t="s">
        <v>323</v>
      </c>
      <c r="O51" s="11" t="str">
        <f t="shared" si="0"/>
        <v>Brijesh Kushwaha</v>
      </c>
      <c r="P51" s="52" t="str">
        <f t="shared" si="0"/>
        <v>Shantanu Kushwaha</v>
      </c>
      <c r="T51" s="12"/>
      <c r="U51" s="13"/>
      <c r="V51" s="13"/>
      <c r="W51" s="13"/>
      <c r="X51" s="13"/>
      <c r="Y51" s="13"/>
      <c r="Z51" s="13"/>
      <c r="AA51" s="13"/>
      <c r="AB51" s="13"/>
      <c r="AC51" s="56"/>
    </row>
    <row r="52" spans="1:29">
      <c r="A52" s="11">
        <v>51</v>
      </c>
      <c r="B52" s="67">
        <v>151</v>
      </c>
      <c r="C52" s="51" t="s">
        <v>185</v>
      </c>
      <c r="D52" s="51" t="s">
        <v>279</v>
      </c>
      <c r="E52" s="51" t="s">
        <v>316</v>
      </c>
      <c r="F52" s="71" t="s">
        <v>322</v>
      </c>
      <c r="G52" s="68">
        <v>45748</v>
      </c>
      <c r="H52" s="51">
        <v>55000</v>
      </c>
      <c r="I52" s="51">
        <v>52000</v>
      </c>
      <c r="J52" s="52" t="s">
        <v>327</v>
      </c>
      <c r="O52" s="11" t="str">
        <f t="shared" si="0"/>
        <v xml:space="preserve">Brijesh Singh Yadav </v>
      </c>
      <c r="P52" s="52" t="str">
        <f t="shared" si="0"/>
        <v>Sunil Singh Yadav</v>
      </c>
    </row>
    <row r="53" spans="1:29">
      <c r="A53" s="11">
        <v>52</v>
      </c>
      <c r="B53" s="67">
        <v>152</v>
      </c>
      <c r="C53" s="51" t="s">
        <v>186</v>
      </c>
      <c r="D53" s="51" t="s">
        <v>280</v>
      </c>
      <c r="E53" s="51" t="s">
        <v>316</v>
      </c>
      <c r="F53" s="71" t="s">
        <v>321</v>
      </c>
      <c r="G53" s="68">
        <v>45748</v>
      </c>
      <c r="H53" s="51">
        <v>75000</v>
      </c>
      <c r="I53" s="51">
        <v>75000</v>
      </c>
      <c r="J53" s="52" t="s">
        <v>325</v>
      </c>
      <c r="O53" s="11" t="str">
        <f t="shared" si="0"/>
        <v>Vijay Gond</v>
      </c>
      <c r="P53" s="52" t="str">
        <f t="shared" si="0"/>
        <v>Subash Gond</v>
      </c>
    </row>
    <row r="54" spans="1:29">
      <c r="A54" s="11">
        <v>53</v>
      </c>
      <c r="B54" s="67">
        <v>153</v>
      </c>
      <c r="C54" s="51" t="s">
        <v>187</v>
      </c>
      <c r="D54" s="51" t="s">
        <v>281</v>
      </c>
      <c r="E54" s="51" t="s">
        <v>316</v>
      </c>
      <c r="F54" s="71" t="s">
        <v>320</v>
      </c>
      <c r="G54" s="68">
        <v>45748</v>
      </c>
      <c r="H54" s="51">
        <v>80000</v>
      </c>
      <c r="I54" s="51">
        <v>80000</v>
      </c>
      <c r="J54" s="52" t="s">
        <v>324</v>
      </c>
      <c r="O54" s="11" t="str">
        <f t="shared" si="0"/>
        <v>Sanjeev Gupta</v>
      </c>
      <c r="P54" s="52" t="str">
        <f t="shared" si="0"/>
        <v>Sunil Gupta</v>
      </c>
    </row>
    <row r="55" spans="1:29">
      <c r="A55" s="11">
        <v>54</v>
      </c>
      <c r="B55" s="67">
        <v>154</v>
      </c>
      <c r="C55" s="51" t="s">
        <v>188</v>
      </c>
      <c r="D55" s="51" t="s">
        <v>282</v>
      </c>
      <c r="E55" s="51" t="s">
        <v>316</v>
      </c>
      <c r="F55" s="71" t="s">
        <v>319</v>
      </c>
      <c r="G55" s="68">
        <v>45748</v>
      </c>
      <c r="H55" s="51">
        <v>42000</v>
      </c>
      <c r="I55" s="51">
        <v>36000</v>
      </c>
      <c r="J55" s="52" t="s">
        <v>323</v>
      </c>
      <c r="O55" s="11" t="str">
        <f t="shared" si="0"/>
        <v>Rohan Gupta</v>
      </c>
      <c r="P55" s="52" t="str">
        <f t="shared" si="0"/>
        <v>Deelip Gupta</v>
      </c>
    </row>
    <row r="56" spans="1:29">
      <c r="A56" s="11">
        <v>55</v>
      </c>
      <c r="B56" s="67">
        <v>155</v>
      </c>
      <c r="C56" s="51" t="s">
        <v>189</v>
      </c>
      <c r="D56" s="51" t="s">
        <v>283</v>
      </c>
      <c r="E56" s="51" t="s">
        <v>317</v>
      </c>
      <c r="F56" s="71" t="s">
        <v>321</v>
      </c>
      <c r="G56" s="68">
        <v>45748</v>
      </c>
      <c r="H56" s="51">
        <v>75000</v>
      </c>
      <c r="I56" s="51">
        <v>68000</v>
      </c>
      <c r="J56" s="52" t="s">
        <v>327</v>
      </c>
      <c r="O56" s="11" t="str">
        <f t="shared" si="0"/>
        <v>Khushi Singh</v>
      </c>
      <c r="P56" s="52" t="str">
        <f t="shared" si="0"/>
        <v>Bijendra Singh</v>
      </c>
    </row>
    <row r="57" spans="1:29">
      <c r="A57" s="11">
        <v>56</v>
      </c>
      <c r="B57" s="67">
        <v>156</v>
      </c>
      <c r="C57" s="51" t="s">
        <v>190</v>
      </c>
      <c r="D57" s="51" t="s">
        <v>285</v>
      </c>
      <c r="E57" s="51" t="s">
        <v>317</v>
      </c>
      <c r="F57" s="71" t="s">
        <v>322</v>
      </c>
      <c r="G57" s="68">
        <v>45778</v>
      </c>
      <c r="H57" s="51">
        <v>55000</v>
      </c>
      <c r="I57" s="51">
        <v>53000</v>
      </c>
      <c r="J57" s="52" t="s">
        <v>325</v>
      </c>
      <c r="O57" s="11" t="str">
        <f t="shared" si="0"/>
        <v>Parul Yadav</v>
      </c>
      <c r="P57" s="52" t="str">
        <f t="shared" si="0"/>
        <v>Purab Yadav</v>
      </c>
    </row>
    <row r="58" spans="1:29">
      <c r="A58" s="11">
        <v>57</v>
      </c>
      <c r="B58" s="67">
        <v>157</v>
      </c>
      <c r="C58" s="51" t="s">
        <v>191</v>
      </c>
      <c r="D58" s="51" t="s">
        <v>284</v>
      </c>
      <c r="E58" s="51" t="s">
        <v>316</v>
      </c>
      <c r="F58" s="71" t="s">
        <v>320</v>
      </c>
      <c r="G58" s="68">
        <v>45778</v>
      </c>
      <c r="H58" s="51">
        <v>80000</v>
      </c>
      <c r="I58" s="51">
        <v>78000</v>
      </c>
      <c r="J58" s="52" t="s">
        <v>327</v>
      </c>
      <c r="O58" s="11" t="str">
        <f t="shared" si="0"/>
        <v>Aman Disoja</v>
      </c>
      <c r="P58" s="52" t="str">
        <f t="shared" si="0"/>
        <v>Manoj Disoja</v>
      </c>
    </row>
    <row r="59" spans="1:29">
      <c r="A59" s="11">
        <v>58</v>
      </c>
      <c r="B59" s="67">
        <v>158</v>
      </c>
      <c r="C59" s="51" t="s">
        <v>192</v>
      </c>
      <c r="D59" s="51" t="s">
        <v>286</v>
      </c>
      <c r="E59" s="51" t="s">
        <v>316</v>
      </c>
      <c r="F59" s="71" t="s">
        <v>319</v>
      </c>
      <c r="G59" s="68">
        <v>45778</v>
      </c>
      <c r="H59" s="51">
        <v>42000</v>
      </c>
      <c r="I59" s="51">
        <v>42000</v>
      </c>
      <c r="J59" s="52" t="s">
        <v>324</v>
      </c>
      <c r="O59" s="11" t="str">
        <f t="shared" si="0"/>
        <v>Narendranath Singh</v>
      </c>
      <c r="P59" s="52" t="str">
        <f t="shared" si="0"/>
        <v>Kali Singh</v>
      </c>
    </row>
    <row r="60" spans="1:29">
      <c r="A60" s="11">
        <v>59</v>
      </c>
      <c r="B60" s="67">
        <v>159</v>
      </c>
      <c r="C60" s="51" t="s">
        <v>193</v>
      </c>
      <c r="D60" s="51" t="s">
        <v>255</v>
      </c>
      <c r="E60" s="51" t="s">
        <v>316</v>
      </c>
      <c r="F60" s="71" t="s">
        <v>319</v>
      </c>
      <c r="G60" s="68">
        <v>45778</v>
      </c>
      <c r="H60" s="51">
        <v>42000</v>
      </c>
      <c r="I60" s="51">
        <v>40000</v>
      </c>
      <c r="J60" s="52" t="s">
        <v>323</v>
      </c>
      <c r="O60" s="11" t="str">
        <f t="shared" si="0"/>
        <v>Hari Singh</v>
      </c>
      <c r="P60" s="52" t="str">
        <f t="shared" si="0"/>
        <v>Kalika Singh</v>
      </c>
    </row>
    <row r="61" spans="1:29">
      <c r="A61" s="11">
        <v>60</v>
      </c>
      <c r="B61" s="67">
        <v>160</v>
      </c>
      <c r="C61" s="51" t="s">
        <v>194</v>
      </c>
      <c r="D61" s="51" t="s">
        <v>287</v>
      </c>
      <c r="E61" s="51" t="s">
        <v>316</v>
      </c>
      <c r="F61" s="71" t="s">
        <v>322</v>
      </c>
      <c r="G61" s="68">
        <v>45778</v>
      </c>
      <c r="H61" s="51">
        <v>55000</v>
      </c>
      <c r="I61" s="51">
        <v>50000</v>
      </c>
      <c r="J61" s="52" t="s">
        <v>324</v>
      </c>
      <c r="O61" s="11" t="str">
        <f t="shared" si="0"/>
        <v>Manmohan Singh</v>
      </c>
      <c r="P61" s="52" t="str">
        <f t="shared" si="0"/>
        <v>Teju Singh</v>
      </c>
    </row>
    <row r="62" spans="1:29">
      <c r="A62" s="11">
        <v>61</v>
      </c>
      <c r="B62" s="67">
        <v>161</v>
      </c>
      <c r="C62" s="51" t="s">
        <v>195</v>
      </c>
      <c r="D62" s="51" t="s">
        <v>288</v>
      </c>
      <c r="E62" s="51" t="s">
        <v>316</v>
      </c>
      <c r="F62" s="71" t="s">
        <v>320</v>
      </c>
      <c r="G62" s="68">
        <v>45778</v>
      </c>
      <c r="H62" s="51">
        <v>80000</v>
      </c>
      <c r="I62" s="51">
        <v>73000</v>
      </c>
      <c r="J62" s="52" t="s">
        <v>325</v>
      </c>
      <c r="O62" s="11" t="str">
        <f t="shared" si="0"/>
        <v>Pintu Prajapati</v>
      </c>
      <c r="P62" s="52" t="str">
        <f t="shared" si="0"/>
        <v>Dina Prajapati</v>
      </c>
    </row>
    <row r="63" spans="1:29">
      <c r="A63" s="11">
        <v>62</v>
      </c>
      <c r="B63" s="67">
        <v>162</v>
      </c>
      <c r="C63" s="51" t="s">
        <v>196</v>
      </c>
      <c r="D63" s="51" t="s">
        <v>289</v>
      </c>
      <c r="E63" s="51" t="s">
        <v>316</v>
      </c>
      <c r="F63" s="71" t="s">
        <v>322</v>
      </c>
      <c r="G63" s="68">
        <v>45778</v>
      </c>
      <c r="H63" s="51">
        <v>55000</v>
      </c>
      <c r="I63" s="51">
        <v>51000</v>
      </c>
      <c r="J63" s="52" t="s">
        <v>327</v>
      </c>
      <c r="O63" s="11" t="str">
        <f t="shared" si="0"/>
        <v>Ghantu Gond</v>
      </c>
      <c r="P63" s="52" t="str">
        <f t="shared" si="0"/>
        <v>Mohan Gond</v>
      </c>
    </row>
    <row r="64" spans="1:29">
      <c r="A64" s="11">
        <v>63</v>
      </c>
      <c r="B64" s="67">
        <v>163</v>
      </c>
      <c r="C64" s="51" t="s">
        <v>197</v>
      </c>
      <c r="D64" s="51" t="s">
        <v>290</v>
      </c>
      <c r="E64" s="51" t="s">
        <v>316</v>
      </c>
      <c r="F64" s="71" t="s">
        <v>319</v>
      </c>
      <c r="G64" s="68">
        <v>45778</v>
      </c>
      <c r="H64" s="51">
        <v>42000</v>
      </c>
      <c r="I64" s="51">
        <v>40000</v>
      </c>
      <c r="J64" s="52" t="s">
        <v>327</v>
      </c>
      <c r="O64" s="11" t="str">
        <f t="shared" si="0"/>
        <v>Bablu Kannojiya</v>
      </c>
      <c r="P64" s="52" t="str">
        <f t="shared" si="0"/>
        <v>Jhuri Kannojiya</v>
      </c>
    </row>
    <row r="65" spans="1:16">
      <c r="A65" s="11">
        <v>64</v>
      </c>
      <c r="B65" s="67">
        <v>164</v>
      </c>
      <c r="C65" s="51" t="s">
        <v>198</v>
      </c>
      <c r="D65" s="51" t="s">
        <v>291</v>
      </c>
      <c r="E65" s="51" t="s">
        <v>317</v>
      </c>
      <c r="F65" s="71" t="s">
        <v>319</v>
      </c>
      <c r="G65" s="68">
        <v>45778</v>
      </c>
      <c r="H65" s="51">
        <v>42000</v>
      </c>
      <c r="I65" s="51">
        <v>42000</v>
      </c>
      <c r="J65" s="52" t="s">
        <v>323</v>
      </c>
      <c r="O65" s="11" t="str">
        <f t="shared" si="0"/>
        <v>Rita Devi</v>
      </c>
      <c r="P65" s="52" t="str">
        <f t="shared" si="0"/>
        <v>Awadh Ojha</v>
      </c>
    </row>
    <row r="66" spans="1:16">
      <c r="A66" s="11">
        <v>65</v>
      </c>
      <c r="B66" s="67">
        <v>165</v>
      </c>
      <c r="C66" s="51" t="s">
        <v>199</v>
      </c>
      <c r="D66" s="51" t="s">
        <v>292</v>
      </c>
      <c r="E66" s="51" t="s">
        <v>317</v>
      </c>
      <c r="F66" s="71" t="s">
        <v>319</v>
      </c>
      <c r="G66" s="68">
        <v>45778</v>
      </c>
      <c r="H66" s="51">
        <v>42000</v>
      </c>
      <c r="I66" s="51">
        <v>27000</v>
      </c>
      <c r="J66" s="52" t="s">
        <v>324</v>
      </c>
      <c r="O66" s="11" t="str">
        <f t="shared" si="0"/>
        <v>Sunita Singh</v>
      </c>
      <c r="P66" s="52" t="str">
        <f t="shared" si="0"/>
        <v>Rahul Singh</v>
      </c>
    </row>
    <row r="67" spans="1:16">
      <c r="A67" s="11">
        <v>66</v>
      </c>
      <c r="B67" s="67">
        <v>166</v>
      </c>
      <c r="C67" s="51" t="s">
        <v>200</v>
      </c>
      <c r="D67" s="51" t="s">
        <v>293</v>
      </c>
      <c r="E67" s="51" t="s">
        <v>317</v>
      </c>
      <c r="F67" s="71" t="s">
        <v>322</v>
      </c>
      <c r="G67" s="68">
        <v>45778</v>
      </c>
      <c r="H67" s="51">
        <v>55000</v>
      </c>
      <c r="I67" s="51">
        <v>55000</v>
      </c>
      <c r="J67" s="52" t="s">
        <v>325</v>
      </c>
      <c r="O67" s="11" t="str">
        <f t="shared" si="0"/>
        <v>Rubina Devi</v>
      </c>
      <c r="P67" s="52" t="str">
        <f t="shared" si="0"/>
        <v>Mathur Gond</v>
      </c>
    </row>
    <row r="68" spans="1:16">
      <c r="A68" s="11">
        <v>67</v>
      </c>
      <c r="B68" s="67">
        <v>167</v>
      </c>
      <c r="C68" s="51" t="s">
        <v>201</v>
      </c>
      <c r="D68" s="51" t="s">
        <v>294</v>
      </c>
      <c r="E68" s="51" t="s">
        <v>317</v>
      </c>
      <c r="F68" s="71" t="s">
        <v>319</v>
      </c>
      <c r="G68" s="68">
        <v>45778</v>
      </c>
      <c r="H68" s="51">
        <v>42000</v>
      </c>
      <c r="I68" s="51">
        <v>42000</v>
      </c>
      <c r="J68" s="52" t="s">
        <v>324</v>
      </c>
      <c r="O68" s="11" t="str">
        <f t="shared" ref="O68:P101" si="6">PROPER(C67:C166)</f>
        <v>Chitra Tripathi</v>
      </c>
      <c r="P68" s="52" t="str">
        <f t="shared" si="6"/>
        <v>Sujit Tripathi</v>
      </c>
    </row>
    <row r="69" spans="1:16">
      <c r="A69" s="11">
        <v>68</v>
      </c>
      <c r="B69" s="67">
        <v>168</v>
      </c>
      <c r="C69" s="51" t="s">
        <v>202</v>
      </c>
      <c r="D69" s="51" t="s">
        <v>295</v>
      </c>
      <c r="E69" s="51" t="s">
        <v>317</v>
      </c>
      <c r="F69" s="71" t="s">
        <v>320</v>
      </c>
      <c r="G69" s="68">
        <v>45809</v>
      </c>
      <c r="H69" s="51">
        <v>80000</v>
      </c>
      <c r="I69" s="51">
        <v>20000</v>
      </c>
      <c r="J69" s="52" t="s">
        <v>324</v>
      </c>
      <c r="O69" s="11" t="str">
        <f t="shared" si="6"/>
        <v>Rubika Ara</v>
      </c>
      <c r="P69" s="52" t="str">
        <f t="shared" si="6"/>
        <v>Mannan Ara</v>
      </c>
    </row>
    <row r="70" spans="1:16">
      <c r="A70" s="11">
        <v>69</v>
      </c>
      <c r="B70" s="67">
        <v>169</v>
      </c>
      <c r="C70" s="51" t="s">
        <v>203</v>
      </c>
      <c r="D70" s="51" t="s">
        <v>295</v>
      </c>
      <c r="E70" s="51" t="s">
        <v>317</v>
      </c>
      <c r="F70" s="71" t="s">
        <v>322</v>
      </c>
      <c r="G70" s="68">
        <v>45809</v>
      </c>
      <c r="H70" s="51">
        <v>55000</v>
      </c>
      <c r="I70" s="51">
        <v>30000</v>
      </c>
      <c r="J70" s="52" t="s">
        <v>324</v>
      </c>
      <c r="O70" s="11" t="str">
        <f t="shared" si="6"/>
        <v>Shabanam Ara</v>
      </c>
      <c r="P70" s="52" t="str">
        <f t="shared" si="6"/>
        <v>Mannan Ara</v>
      </c>
    </row>
    <row r="71" spans="1:16">
      <c r="A71" s="11">
        <v>70</v>
      </c>
      <c r="B71" s="67">
        <v>170</v>
      </c>
      <c r="C71" s="51" t="s">
        <v>205</v>
      </c>
      <c r="D71" s="51" t="s">
        <v>296</v>
      </c>
      <c r="E71" s="51" t="s">
        <v>316</v>
      </c>
      <c r="F71" s="71" t="s">
        <v>321</v>
      </c>
      <c r="G71" s="68">
        <v>45809</v>
      </c>
      <c r="H71" s="51">
        <v>75000</v>
      </c>
      <c r="I71" s="51">
        <v>40000</v>
      </c>
      <c r="J71" s="52" t="s">
        <v>323</v>
      </c>
      <c r="O71" s="11" t="str">
        <f t="shared" si="6"/>
        <v>Anil Rai</v>
      </c>
      <c r="P71" s="52" t="str">
        <f t="shared" si="6"/>
        <v>Surendar Rai</v>
      </c>
    </row>
    <row r="72" spans="1:16">
      <c r="A72" s="11">
        <v>71</v>
      </c>
      <c r="B72" s="67">
        <v>171</v>
      </c>
      <c r="C72" s="51" t="s">
        <v>204</v>
      </c>
      <c r="D72" s="51" t="s">
        <v>296</v>
      </c>
      <c r="E72" s="51" t="s">
        <v>316</v>
      </c>
      <c r="F72" s="71" t="s">
        <v>322</v>
      </c>
      <c r="G72" s="68">
        <v>45809</v>
      </c>
      <c r="H72" s="51">
        <v>55000</v>
      </c>
      <c r="I72" s="51">
        <v>25000</v>
      </c>
      <c r="J72" s="52" t="s">
        <v>327</v>
      </c>
      <c r="O72" s="11" t="str">
        <f t="shared" si="6"/>
        <v>Anuj Rai</v>
      </c>
      <c r="P72" s="52" t="str">
        <f t="shared" si="6"/>
        <v>Surendar Rai</v>
      </c>
    </row>
    <row r="73" spans="1:16">
      <c r="A73" s="11">
        <v>72</v>
      </c>
      <c r="B73" s="67">
        <v>172</v>
      </c>
      <c r="C73" s="51" t="s">
        <v>206</v>
      </c>
      <c r="D73" s="51" t="s">
        <v>297</v>
      </c>
      <c r="E73" s="51" t="s">
        <v>316</v>
      </c>
      <c r="F73" s="71" t="s">
        <v>322</v>
      </c>
      <c r="G73" s="68">
        <v>45809</v>
      </c>
      <c r="H73" s="51">
        <v>55000</v>
      </c>
      <c r="I73" s="51">
        <v>35000</v>
      </c>
      <c r="J73" s="52" t="s">
        <v>327</v>
      </c>
      <c r="O73" s="11" t="str">
        <f t="shared" si="6"/>
        <v>Anuj Maharaj</v>
      </c>
      <c r="P73" s="52" t="str">
        <f t="shared" si="6"/>
        <v>Teju Maharaj</v>
      </c>
    </row>
    <row r="74" spans="1:16">
      <c r="A74" s="11">
        <v>73</v>
      </c>
      <c r="B74" s="67">
        <v>173</v>
      </c>
      <c r="C74" s="51" t="s">
        <v>207</v>
      </c>
      <c r="D74" s="51" t="s">
        <v>298</v>
      </c>
      <c r="E74" s="51" t="s">
        <v>316</v>
      </c>
      <c r="F74" s="71" t="s">
        <v>322</v>
      </c>
      <c r="G74" s="68">
        <v>45809</v>
      </c>
      <c r="H74" s="51">
        <v>55000</v>
      </c>
      <c r="I74" s="51">
        <v>50000</v>
      </c>
      <c r="J74" s="52" t="s">
        <v>325</v>
      </c>
      <c r="O74" s="11" t="str">
        <f t="shared" si="6"/>
        <v>Kailash Upadhayay</v>
      </c>
      <c r="P74" s="52" t="str">
        <f t="shared" si="6"/>
        <v>Bappa Upadhayay</v>
      </c>
    </row>
    <row r="75" spans="1:16">
      <c r="A75" s="11">
        <v>74</v>
      </c>
      <c r="B75" s="67">
        <v>174</v>
      </c>
      <c r="C75" s="51" t="s">
        <v>208</v>
      </c>
      <c r="D75" s="51" t="s">
        <v>162</v>
      </c>
      <c r="E75" s="51" t="s">
        <v>316</v>
      </c>
      <c r="F75" s="71" t="s">
        <v>321</v>
      </c>
      <c r="G75" s="68">
        <v>45809</v>
      </c>
      <c r="H75" s="51">
        <v>75000</v>
      </c>
      <c r="I75" s="51">
        <v>45000</v>
      </c>
      <c r="J75" s="52" t="s">
        <v>325</v>
      </c>
      <c r="O75" s="11" t="str">
        <f t="shared" si="6"/>
        <v>Raj Upadhayay</v>
      </c>
      <c r="P75" s="52" t="str">
        <f t="shared" si="6"/>
        <v>Sanjay Upadhayay</v>
      </c>
    </row>
    <row r="76" spans="1:16">
      <c r="A76" s="11">
        <v>75</v>
      </c>
      <c r="B76" s="67">
        <v>175</v>
      </c>
      <c r="C76" s="51" t="s">
        <v>209</v>
      </c>
      <c r="D76" s="51" t="s">
        <v>248</v>
      </c>
      <c r="E76" s="51" t="s">
        <v>316</v>
      </c>
      <c r="F76" s="71" t="s">
        <v>319</v>
      </c>
      <c r="G76" s="68">
        <v>45809</v>
      </c>
      <c r="H76" s="51">
        <v>42000</v>
      </c>
      <c r="I76" s="51">
        <v>40000</v>
      </c>
      <c r="J76" s="52" t="s">
        <v>323</v>
      </c>
      <c r="O76" s="11" t="str">
        <f t="shared" si="6"/>
        <v>Priyanshu Singh</v>
      </c>
      <c r="P76" s="52" t="str">
        <f t="shared" si="6"/>
        <v>Premprakash Singh</v>
      </c>
    </row>
    <row r="77" spans="1:16">
      <c r="A77" s="11">
        <v>76</v>
      </c>
      <c r="B77" s="67">
        <v>176</v>
      </c>
      <c r="C77" s="51" t="s">
        <v>210</v>
      </c>
      <c r="D77" s="51" t="s">
        <v>299</v>
      </c>
      <c r="E77" s="51" t="s">
        <v>316</v>
      </c>
      <c r="F77" s="71" t="s">
        <v>321</v>
      </c>
      <c r="G77" s="68">
        <v>45809</v>
      </c>
      <c r="H77" s="51">
        <v>75000</v>
      </c>
      <c r="I77" s="51">
        <v>70000</v>
      </c>
      <c r="J77" s="52" t="s">
        <v>324</v>
      </c>
      <c r="O77" s="11" t="str">
        <f t="shared" si="6"/>
        <v>Vishal Manhotra</v>
      </c>
      <c r="P77" s="52" t="str">
        <f t="shared" si="6"/>
        <v>Sumit Manhotra</v>
      </c>
    </row>
    <row r="78" spans="1:16">
      <c r="A78" s="11">
        <v>77</v>
      </c>
      <c r="B78" s="67">
        <v>177</v>
      </c>
      <c r="C78" s="51" t="s">
        <v>211</v>
      </c>
      <c r="D78" s="51" t="s">
        <v>300</v>
      </c>
      <c r="E78" s="51" t="s">
        <v>316</v>
      </c>
      <c r="F78" s="71" t="s">
        <v>320</v>
      </c>
      <c r="G78" s="68">
        <v>45809</v>
      </c>
      <c r="H78" s="51">
        <v>80000</v>
      </c>
      <c r="I78" s="51">
        <v>80000</v>
      </c>
      <c r="J78" s="52" t="s">
        <v>323</v>
      </c>
      <c r="O78" s="11" t="str">
        <f t="shared" si="6"/>
        <v>Sumit Tiwar</v>
      </c>
      <c r="P78" s="52" t="str">
        <f t="shared" si="6"/>
        <v>Rajan Tiwari</v>
      </c>
    </row>
    <row r="79" spans="1:16">
      <c r="A79" s="11">
        <v>78</v>
      </c>
      <c r="B79" s="67">
        <v>178</v>
      </c>
      <c r="C79" s="51" t="s">
        <v>212</v>
      </c>
      <c r="D79" s="51" t="s">
        <v>300</v>
      </c>
      <c r="E79" s="51" t="s">
        <v>317</v>
      </c>
      <c r="F79" s="71" t="s">
        <v>322</v>
      </c>
      <c r="G79" s="68">
        <v>45809</v>
      </c>
      <c r="H79" s="51">
        <v>55000</v>
      </c>
      <c r="I79" s="51">
        <v>50000</v>
      </c>
      <c r="J79" s="52" t="s">
        <v>325</v>
      </c>
      <c r="O79" s="11" t="str">
        <f t="shared" si="6"/>
        <v xml:space="preserve"> Shruti Tiwari</v>
      </c>
      <c r="P79" s="52" t="str">
        <f t="shared" si="6"/>
        <v>Rajan Tiwari</v>
      </c>
    </row>
    <row r="80" spans="1:16">
      <c r="A80" s="11">
        <v>79</v>
      </c>
      <c r="B80" s="67">
        <v>179</v>
      </c>
      <c r="C80" s="51" t="s">
        <v>213</v>
      </c>
      <c r="D80" s="51" t="s">
        <v>301</v>
      </c>
      <c r="E80" s="51" t="s">
        <v>316</v>
      </c>
      <c r="F80" s="71" t="s">
        <v>319</v>
      </c>
      <c r="G80" s="68">
        <v>45809</v>
      </c>
      <c r="H80" s="51">
        <v>42000</v>
      </c>
      <c r="I80" s="51">
        <v>42000</v>
      </c>
      <c r="J80" s="52" t="s">
        <v>327</v>
      </c>
      <c r="O80" s="11" t="str">
        <f t="shared" si="6"/>
        <v>Shubham Yadav</v>
      </c>
      <c r="P80" s="52" t="str">
        <f t="shared" si="6"/>
        <v>Balwant Yadav</v>
      </c>
    </row>
    <row r="81" spans="1:16">
      <c r="A81" s="11">
        <v>80</v>
      </c>
      <c r="B81" s="67">
        <v>180</v>
      </c>
      <c r="C81" s="51" t="s">
        <v>214</v>
      </c>
      <c r="D81" s="51" t="s">
        <v>243</v>
      </c>
      <c r="E81" s="51" t="s">
        <v>316</v>
      </c>
      <c r="F81" s="71" t="s">
        <v>322</v>
      </c>
      <c r="G81" s="68">
        <v>45809</v>
      </c>
      <c r="H81" s="51">
        <v>55000</v>
      </c>
      <c r="I81" s="51">
        <v>55000</v>
      </c>
      <c r="J81" s="52" t="s">
        <v>327</v>
      </c>
      <c r="O81" s="11" t="str">
        <f t="shared" si="6"/>
        <v>Monty Singh</v>
      </c>
      <c r="P81" s="52" t="str">
        <f t="shared" si="6"/>
        <v>Balwant Singh</v>
      </c>
    </row>
    <row r="82" spans="1:16">
      <c r="A82" s="11">
        <v>81</v>
      </c>
      <c r="B82" s="67">
        <v>181</v>
      </c>
      <c r="C82" s="51" t="s">
        <v>215</v>
      </c>
      <c r="D82" s="51" t="s">
        <v>160</v>
      </c>
      <c r="E82" s="51" t="s">
        <v>316</v>
      </c>
      <c r="F82" s="71" t="s">
        <v>322</v>
      </c>
      <c r="G82" s="68">
        <v>45809</v>
      </c>
      <c r="H82" s="51">
        <v>55000</v>
      </c>
      <c r="I82" s="51">
        <v>55000</v>
      </c>
      <c r="J82" s="52" t="s">
        <v>325</v>
      </c>
      <c r="O82" s="11" t="str">
        <f t="shared" si="6"/>
        <v>Pawan Singh</v>
      </c>
      <c r="P82" s="52" t="str">
        <f t="shared" si="6"/>
        <v>Munnan Singh</v>
      </c>
    </row>
    <row r="83" spans="1:16">
      <c r="A83" s="11">
        <v>82</v>
      </c>
      <c r="B83" s="67">
        <v>182</v>
      </c>
      <c r="C83" s="51" t="s">
        <v>216</v>
      </c>
      <c r="D83" s="51" t="s">
        <v>302</v>
      </c>
      <c r="E83" s="51" t="s">
        <v>317</v>
      </c>
      <c r="F83" s="71" t="s">
        <v>319</v>
      </c>
      <c r="G83" s="68">
        <v>45809</v>
      </c>
      <c r="H83" s="51">
        <v>42000</v>
      </c>
      <c r="I83" s="51">
        <v>25000</v>
      </c>
      <c r="J83" s="52" t="s">
        <v>325</v>
      </c>
      <c r="O83" s="11" t="str">
        <f t="shared" si="6"/>
        <v>Rani Chatarjee</v>
      </c>
      <c r="P83" s="52" t="str">
        <f t="shared" si="6"/>
        <v>Mohan Chatarjee</v>
      </c>
    </row>
    <row r="84" spans="1:16">
      <c r="A84" s="11">
        <v>83</v>
      </c>
      <c r="B84" s="67">
        <v>183</v>
      </c>
      <c r="C84" s="51" t="s">
        <v>217</v>
      </c>
      <c r="D84" s="51" t="s">
        <v>303</v>
      </c>
      <c r="E84" s="51" t="s">
        <v>316</v>
      </c>
      <c r="F84" s="71" t="s">
        <v>322</v>
      </c>
      <c r="G84" s="68">
        <v>45809</v>
      </c>
      <c r="H84" s="51">
        <v>55000</v>
      </c>
      <c r="I84" s="51">
        <v>15000</v>
      </c>
      <c r="J84" s="52" t="s">
        <v>323</v>
      </c>
      <c r="O84" s="11" t="str">
        <f t="shared" si="6"/>
        <v>Shweta Tripathi</v>
      </c>
      <c r="P84" s="52" t="str">
        <f t="shared" si="6"/>
        <v>Surendra Tripathi</v>
      </c>
    </row>
    <row r="85" spans="1:16">
      <c r="A85" s="11">
        <v>84</v>
      </c>
      <c r="B85" s="67">
        <v>184</v>
      </c>
      <c r="C85" s="51" t="s">
        <v>218</v>
      </c>
      <c r="D85" s="51" t="s">
        <v>304</v>
      </c>
      <c r="E85" s="51" t="s">
        <v>317</v>
      </c>
      <c r="F85" s="71" t="s">
        <v>322</v>
      </c>
      <c r="G85" s="68">
        <v>45809</v>
      </c>
      <c r="H85" s="51">
        <v>55000</v>
      </c>
      <c r="I85" s="51">
        <v>40000</v>
      </c>
      <c r="J85" s="52" t="s">
        <v>323</v>
      </c>
      <c r="O85" s="11" t="str">
        <f t="shared" si="6"/>
        <v>Meenu Yadav</v>
      </c>
      <c r="P85" s="52" t="str">
        <f t="shared" si="6"/>
        <v>Lalu Yadav</v>
      </c>
    </row>
    <row r="86" spans="1:16">
      <c r="A86" s="11">
        <v>85</v>
      </c>
      <c r="B86" s="67">
        <v>185</v>
      </c>
      <c r="C86" s="51" t="s">
        <v>219</v>
      </c>
      <c r="D86" s="51" t="s">
        <v>304</v>
      </c>
      <c r="E86" s="51" t="s">
        <v>317</v>
      </c>
      <c r="F86" s="71" t="s">
        <v>319</v>
      </c>
      <c r="G86" s="68">
        <v>45809</v>
      </c>
      <c r="H86" s="51">
        <v>42000</v>
      </c>
      <c r="I86" s="51">
        <v>20000</v>
      </c>
      <c r="J86" s="52" t="s">
        <v>323</v>
      </c>
      <c r="O86" s="11" t="str">
        <f t="shared" si="6"/>
        <v>Puja Yadav</v>
      </c>
      <c r="P86" s="52" t="str">
        <f t="shared" si="6"/>
        <v>Lalu Yadav</v>
      </c>
    </row>
    <row r="87" spans="1:16">
      <c r="A87" s="11">
        <v>86</v>
      </c>
      <c r="B87" s="67">
        <v>186</v>
      </c>
      <c r="C87" s="51" t="s">
        <v>220</v>
      </c>
      <c r="D87" s="51" t="s">
        <v>305</v>
      </c>
      <c r="E87" s="51" t="s">
        <v>316</v>
      </c>
      <c r="F87" s="71" t="s">
        <v>322</v>
      </c>
      <c r="G87" s="68">
        <v>45809</v>
      </c>
      <c r="H87" s="51">
        <v>55000</v>
      </c>
      <c r="I87" s="51">
        <v>30000</v>
      </c>
      <c r="J87" s="52" t="s">
        <v>324</v>
      </c>
      <c r="O87" s="11" t="str">
        <f t="shared" si="6"/>
        <v>Amarjeet Yadav</v>
      </c>
      <c r="P87" s="52" t="str">
        <f t="shared" si="6"/>
        <v>Brijesh Singh Yadav</v>
      </c>
    </row>
    <row r="88" spans="1:16">
      <c r="A88" s="11">
        <v>87</v>
      </c>
      <c r="B88" s="67">
        <v>187</v>
      </c>
      <c r="C88" s="51" t="s">
        <v>318</v>
      </c>
      <c r="D88" s="51" t="s">
        <v>306</v>
      </c>
      <c r="E88" s="51" t="s">
        <v>316</v>
      </c>
      <c r="F88" s="71" t="s">
        <v>319</v>
      </c>
      <c r="G88" s="68">
        <v>45809</v>
      </c>
      <c r="H88" s="51">
        <v>42000</v>
      </c>
      <c r="I88" s="51">
        <v>42000</v>
      </c>
      <c r="J88" s="52" t="s">
        <v>324</v>
      </c>
      <c r="O88" s="11" t="str">
        <f t="shared" si="6"/>
        <v>Abhijeet Bhatacharya</v>
      </c>
      <c r="P88" s="52" t="str">
        <f t="shared" si="6"/>
        <v>Sumit Bhatacharya</v>
      </c>
    </row>
    <row r="89" spans="1:16">
      <c r="A89" s="11">
        <v>88</v>
      </c>
      <c r="B89" s="67">
        <v>188</v>
      </c>
      <c r="C89" s="51" t="s">
        <v>221</v>
      </c>
      <c r="D89" s="51" t="s">
        <v>307</v>
      </c>
      <c r="E89" s="51" t="s">
        <v>316</v>
      </c>
      <c r="F89" s="71" t="s">
        <v>322</v>
      </c>
      <c r="G89" s="68">
        <v>45809</v>
      </c>
      <c r="H89" s="51">
        <v>55000</v>
      </c>
      <c r="I89" s="51">
        <v>55000</v>
      </c>
      <c r="J89" s="52" t="s">
        <v>323</v>
      </c>
      <c r="O89" s="11" t="str">
        <f t="shared" si="6"/>
        <v>Ravi Teja</v>
      </c>
      <c r="P89" s="52" t="str">
        <f t="shared" si="6"/>
        <v>Raju Teja</v>
      </c>
    </row>
    <row r="90" spans="1:16">
      <c r="A90" s="11">
        <v>89</v>
      </c>
      <c r="B90" s="67">
        <v>189</v>
      </c>
      <c r="C90" s="51" t="s">
        <v>222</v>
      </c>
      <c r="D90" s="51" t="s">
        <v>168</v>
      </c>
      <c r="E90" s="51" t="s">
        <v>316</v>
      </c>
      <c r="F90" s="71" t="s">
        <v>322</v>
      </c>
      <c r="G90" s="68">
        <v>45809</v>
      </c>
      <c r="H90" s="51">
        <v>55000</v>
      </c>
      <c r="I90" s="51">
        <v>20500</v>
      </c>
      <c r="J90" s="52" t="s">
        <v>324</v>
      </c>
      <c r="O90" s="11" t="str">
        <f t="shared" si="6"/>
        <v>Abhay Singh</v>
      </c>
      <c r="P90" s="52" t="str">
        <f t="shared" si="6"/>
        <v>Atul Singh</v>
      </c>
    </row>
    <row r="91" spans="1:16">
      <c r="A91" s="11">
        <v>90</v>
      </c>
      <c r="B91" s="67">
        <v>190</v>
      </c>
      <c r="C91" s="51" t="s">
        <v>223</v>
      </c>
      <c r="D91" s="51" t="s">
        <v>308</v>
      </c>
      <c r="E91" s="51" t="s">
        <v>316</v>
      </c>
      <c r="F91" s="71" t="s">
        <v>320</v>
      </c>
      <c r="G91" s="68">
        <v>45809</v>
      </c>
      <c r="H91" s="51">
        <v>80000</v>
      </c>
      <c r="I91" s="51">
        <v>80000</v>
      </c>
      <c r="J91" s="52" t="s">
        <v>323</v>
      </c>
      <c r="O91" s="11" t="str">
        <f t="shared" si="6"/>
        <v>Rahul Yadav</v>
      </c>
      <c r="P91" s="52" t="str">
        <f t="shared" si="6"/>
        <v>Girdhar Yadav</v>
      </c>
    </row>
    <row r="92" spans="1:16">
      <c r="A92" s="11">
        <v>91</v>
      </c>
      <c r="B92" s="67">
        <v>191</v>
      </c>
      <c r="C92" s="51" t="s">
        <v>224</v>
      </c>
      <c r="D92" s="51" t="s">
        <v>242</v>
      </c>
      <c r="E92" s="51" t="s">
        <v>316</v>
      </c>
      <c r="F92" s="71" t="s">
        <v>320</v>
      </c>
      <c r="G92" s="68">
        <v>45809</v>
      </c>
      <c r="H92" s="51">
        <v>80000</v>
      </c>
      <c r="I92" s="51">
        <v>75000</v>
      </c>
      <c r="J92" s="52" t="s">
        <v>324</v>
      </c>
      <c r="O92" s="11" t="str">
        <f t="shared" si="6"/>
        <v>Teja Yadav</v>
      </c>
      <c r="P92" s="52" t="str">
        <f t="shared" si="6"/>
        <v>Mukhtar Yadav</v>
      </c>
    </row>
    <row r="93" spans="1:16">
      <c r="A93" s="11">
        <v>92</v>
      </c>
      <c r="B93" s="67">
        <v>192</v>
      </c>
      <c r="C93" s="51" t="s">
        <v>225</v>
      </c>
      <c r="D93" s="51" t="s">
        <v>309</v>
      </c>
      <c r="E93" s="51" t="s">
        <v>316</v>
      </c>
      <c r="F93" s="71" t="s">
        <v>321</v>
      </c>
      <c r="G93" s="68">
        <v>45839</v>
      </c>
      <c r="H93" s="51">
        <v>75000</v>
      </c>
      <c r="I93" s="51">
        <v>65000</v>
      </c>
      <c r="J93" s="52" t="s">
        <v>325</v>
      </c>
      <c r="O93" s="11" t="str">
        <f t="shared" si="6"/>
        <v>Suresh Kushwaha</v>
      </c>
      <c r="P93" s="52" t="str">
        <f t="shared" si="6"/>
        <v>Jhullan Kushwaha</v>
      </c>
    </row>
    <row r="94" spans="1:16">
      <c r="A94" s="11">
        <v>93</v>
      </c>
      <c r="B94" s="67">
        <v>193</v>
      </c>
      <c r="C94" s="51" t="s">
        <v>226</v>
      </c>
      <c r="D94" s="51" t="s">
        <v>310</v>
      </c>
      <c r="E94" s="51" t="s">
        <v>316</v>
      </c>
      <c r="F94" s="71" t="s">
        <v>321</v>
      </c>
      <c r="G94" s="68">
        <v>45839</v>
      </c>
      <c r="H94" s="51">
        <v>75000</v>
      </c>
      <c r="I94" s="51">
        <v>70000</v>
      </c>
      <c r="J94" s="52" t="s">
        <v>323</v>
      </c>
      <c r="O94" s="11" t="str">
        <f t="shared" si="6"/>
        <v>Abhay Kumar</v>
      </c>
      <c r="P94" s="52" t="str">
        <f t="shared" si="6"/>
        <v>Teju Kumar</v>
      </c>
    </row>
    <row r="95" spans="1:16">
      <c r="A95" s="11">
        <v>94</v>
      </c>
      <c r="B95" s="67">
        <v>194</v>
      </c>
      <c r="C95" s="51" t="s">
        <v>227</v>
      </c>
      <c r="D95" s="51" t="s">
        <v>311</v>
      </c>
      <c r="E95" s="51" t="s">
        <v>316</v>
      </c>
      <c r="F95" s="71" t="s">
        <v>319</v>
      </c>
      <c r="G95" s="68">
        <v>45839</v>
      </c>
      <c r="H95" s="51">
        <v>42000</v>
      </c>
      <c r="I95" s="51">
        <v>40000</v>
      </c>
      <c r="J95" s="52" t="s">
        <v>325</v>
      </c>
      <c r="O95" s="11" t="str">
        <f t="shared" si="6"/>
        <v>Manoj Yadav</v>
      </c>
      <c r="P95" s="52" t="str">
        <f t="shared" si="6"/>
        <v>Raju Yadav</v>
      </c>
    </row>
    <row r="96" spans="1:16">
      <c r="A96" s="11">
        <v>95</v>
      </c>
      <c r="B96" s="67">
        <v>195</v>
      </c>
      <c r="C96" s="51" t="s">
        <v>228</v>
      </c>
      <c r="D96" s="51" t="s">
        <v>312</v>
      </c>
      <c r="E96" s="51" t="s">
        <v>316</v>
      </c>
      <c r="F96" s="71" t="s">
        <v>320</v>
      </c>
      <c r="G96" s="68">
        <v>45839</v>
      </c>
      <c r="H96" s="51">
        <v>80000</v>
      </c>
      <c r="I96" s="51">
        <v>75000</v>
      </c>
      <c r="J96" s="52" t="s">
        <v>327</v>
      </c>
      <c r="O96" s="11" t="str">
        <f t="shared" si="6"/>
        <v>Jeet Kumar</v>
      </c>
      <c r="P96" s="52" t="str">
        <f t="shared" si="6"/>
        <v>Pramod Kumar</v>
      </c>
    </row>
    <row r="97" spans="1:16">
      <c r="A97" s="11">
        <v>96</v>
      </c>
      <c r="B97" s="67">
        <v>196</v>
      </c>
      <c r="C97" s="51" t="s">
        <v>229</v>
      </c>
      <c r="D97" s="51" t="s">
        <v>313</v>
      </c>
      <c r="E97" s="51" t="s">
        <v>316</v>
      </c>
      <c r="F97" s="71" t="s">
        <v>319</v>
      </c>
      <c r="G97" s="68">
        <v>45839</v>
      </c>
      <c r="H97" s="51">
        <v>42000</v>
      </c>
      <c r="I97" s="51">
        <v>28000</v>
      </c>
      <c r="J97" s="52" t="s">
        <v>324</v>
      </c>
      <c r="O97" s="11" t="str">
        <f t="shared" si="6"/>
        <v>Ritu Singh</v>
      </c>
      <c r="P97" s="52" t="str">
        <f t="shared" si="6"/>
        <v>Indrajeet Singh</v>
      </c>
    </row>
    <row r="98" spans="1:16">
      <c r="A98" s="11">
        <v>97</v>
      </c>
      <c r="B98" s="67">
        <v>197</v>
      </c>
      <c r="C98" s="51" t="s">
        <v>230</v>
      </c>
      <c r="D98" s="51" t="s">
        <v>313</v>
      </c>
      <c r="E98" s="51" t="s">
        <v>317</v>
      </c>
      <c r="F98" s="71" t="s">
        <v>322</v>
      </c>
      <c r="G98" s="68">
        <v>45839</v>
      </c>
      <c r="H98" s="51">
        <v>55000</v>
      </c>
      <c r="I98" s="51">
        <v>50000</v>
      </c>
      <c r="J98" s="52" t="s">
        <v>325</v>
      </c>
      <c r="O98" s="11" t="str">
        <f t="shared" si="6"/>
        <v>Meena Singh</v>
      </c>
      <c r="P98" s="52" t="str">
        <f t="shared" si="6"/>
        <v>Indrajeet Singh</v>
      </c>
    </row>
    <row r="99" spans="1:16">
      <c r="A99" s="11">
        <v>98</v>
      </c>
      <c r="B99" s="67">
        <v>198</v>
      </c>
      <c r="C99" s="51" t="s">
        <v>231</v>
      </c>
      <c r="D99" s="51" t="s">
        <v>314</v>
      </c>
      <c r="E99" s="51" t="s">
        <v>317</v>
      </c>
      <c r="F99" s="71" t="s">
        <v>321</v>
      </c>
      <c r="G99" s="68">
        <v>45839</v>
      </c>
      <c r="H99" s="51">
        <v>75000</v>
      </c>
      <c r="I99" s="51">
        <v>75000</v>
      </c>
      <c r="J99" s="52" t="s">
        <v>323</v>
      </c>
      <c r="O99" s="11" t="str">
        <f t="shared" si="6"/>
        <v>Rubina Tiwari</v>
      </c>
      <c r="P99" s="52" t="str">
        <f t="shared" si="6"/>
        <v>Abhishek Tiwari</v>
      </c>
    </row>
    <row r="100" spans="1:16">
      <c r="A100" s="11">
        <v>99</v>
      </c>
      <c r="B100" s="67">
        <v>199</v>
      </c>
      <c r="C100" s="51" t="s">
        <v>232</v>
      </c>
      <c r="D100" s="51" t="s">
        <v>137</v>
      </c>
      <c r="E100" s="51" t="s">
        <v>317</v>
      </c>
      <c r="F100" s="71" t="s">
        <v>322</v>
      </c>
      <c r="G100" s="68">
        <v>45839</v>
      </c>
      <c r="H100" s="51">
        <v>55000</v>
      </c>
      <c r="I100" s="51">
        <v>55000</v>
      </c>
      <c r="J100" s="52" t="s">
        <v>327</v>
      </c>
      <c r="O100" s="11" t="str">
        <f t="shared" si="6"/>
        <v>Sabita Kumari</v>
      </c>
      <c r="P100" s="52" t="str">
        <f t="shared" si="6"/>
        <v>Manoj Kumar</v>
      </c>
    </row>
    <row r="101" spans="1:16">
      <c r="A101" s="12">
        <v>100</v>
      </c>
      <c r="B101" s="69">
        <v>200</v>
      </c>
      <c r="C101" s="13" t="s">
        <v>233</v>
      </c>
      <c r="D101" s="13" t="s">
        <v>315</v>
      </c>
      <c r="E101" s="13" t="s">
        <v>316</v>
      </c>
      <c r="F101" s="72" t="s">
        <v>319</v>
      </c>
      <c r="G101" s="70">
        <v>45839</v>
      </c>
      <c r="H101" s="13">
        <v>42000</v>
      </c>
      <c r="I101" s="13">
        <v>40000</v>
      </c>
      <c r="J101" s="56" t="s">
        <v>327</v>
      </c>
      <c r="O101" s="12" t="str">
        <f t="shared" si="6"/>
        <v>Lallan Kumar</v>
      </c>
      <c r="P101" s="56" t="str">
        <f t="shared" si="6"/>
        <v>Virendar Kumar</v>
      </c>
    </row>
  </sheetData>
  <mergeCells count="13">
    <mergeCell ref="T19:AC19"/>
    <mergeCell ref="T22:AC22"/>
    <mergeCell ref="Q1:R1"/>
    <mergeCell ref="O1:P1"/>
    <mergeCell ref="T1:AC1"/>
    <mergeCell ref="T8:AC8"/>
    <mergeCell ref="T15:AC15"/>
    <mergeCell ref="T12:AC12"/>
    <mergeCell ref="T48:AC48"/>
    <mergeCell ref="T27:AC27"/>
    <mergeCell ref="T33:AC33"/>
    <mergeCell ref="T38:AC38"/>
    <mergeCell ref="T43:AC43"/>
  </mergeCells>
  <conditionalFormatting sqref="E2:E101">
    <cfRule type="containsText" dxfId="5" priority="3" operator="containsText" text="male">
      <formula>NOT(ISERROR(SEARCH("male",E2)))</formula>
    </cfRule>
  </conditionalFormatting>
  <conditionalFormatting sqref="E1:E1048576">
    <cfRule type="containsText" priority="2" operator="containsText" text="female">
      <formula>NOT(ISERROR(SEARCH("female",E1)))</formula>
    </cfRule>
    <cfRule type="containsText" dxfId="4" priority="1" operator="containsText" text="female">
      <formula>NOT(ISERROR(SEARCH("female",E1)))</formula>
    </cfRule>
  </conditionalFormatting>
  <dataValidations count="6">
    <dataValidation type="list" allowBlank="1" showInputMessage="1" showErrorMessage="1" sqref="T20 T23">
      <formula1>$B$1:$J$1</formula1>
    </dataValidation>
    <dataValidation type="list" allowBlank="1" showInputMessage="1" showErrorMessage="1" sqref="T24">
      <formula1>$B$2:$B$101</formula1>
    </dataValidation>
    <dataValidation type="list" allowBlank="1" showInputMessage="1" showErrorMessage="1" sqref="T34 T39">
      <formula1>$C$1:$J$1</formula1>
    </dataValidation>
    <dataValidation type="list" allowBlank="1" showInputMessage="1" showErrorMessage="1" sqref="N6">
      <formula1>"BCA,B.Sc.,B.Ed.,B.Com(H)"</formula1>
    </dataValidation>
    <dataValidation type="list" allowBlank="1" showInputMessage="1" showErrorMessage="1" sqref="AE3 AF3">
      <formula1>"B.Com(H),BCA,B.Sc.,B.Ed"</formula1>
    </dataValidation>
    <dataValidation type="list" allowBlank="1" showInputMessage="1" showErrorMessage="1" sqref="AF4">
      <formula1>"male,female"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O5" sqref="O5"/>
    </sheetView>
  </sheetViews>
  <sheetFormatPr defaultRowHeight="14.25"/>
  <sheetData>
    <row r="1" spans="1:10" ht="15.75">
      <c r="A1" s="64" t="s">
        <v>127</v>
      </c>
      <c r="B1" s="65" t="s">
        <v>128</v>
      </c>
      <c r="C1" s="65" t="s">
        <v>129</v>
      </c>
      <c r="D1" s="65" t="s">
        <v>130</v>
      </c>
      <c r="E1" s="65" t="s">
        <v>131</v>
      </c>
      <c r="F1" s="65" t="s">
        <v>132</v>
      </c>
      <c r="G1" s="65" t="s">
        <v>133</v>
      </c>
      <c r="H1" s="65" t="s">
        <v>134</v>
      </c>
      <c r="I1" s="65" t="s">
        <v>135</v>
      </c>
      <c r="J1" s="66" t="s">
        <v>136</v>
      </c>
    </row>
    <row r="2" spans="1:10">
      <c r="A2" s="11">
        <v>1</v>
      </c>
      <c r="B2" s="67">
        <v>101</v>
      </c>
      <c r="C2" s="51" t="s">
        <v>332</v>
      </c>
      <c r="D2" s="51" t="s">
        <v>234</v>
      </c>
      <c r="E2" s="51" t="s">
        <v>316</v>
      </c>
      <c r="F2" s="71" t="s">
        <v>319</v>
      </c>
      <c r="G2" s="68">
        <v>45658</v>
      </c>
      <c r="H2" s="51">
        <v>42000</v>
      </c>
      <c r="I2" s="51">
        <v>28000</v>
      </c>
      <c r="J2" s="52" t="s">
        <v>323</v>
      </c>
    </row>
    <row r="3" spans="1:10">
      <c r="A3" s="11">
        <v>2</v>
      </c>
      <c r="B3" s="67">
        <v>102</v>
      </c>
      <c r="C3" s="51" t="s">
        <v>137</v>
      </c>
      <c r="D3" s="51" t="s">
        <v>235</v>
      </c>
      <c r="E3" s="51" t="s">
        <v>316</v>
      </c>
      <c r="F3" s="71" t="s">
        <v>320</v>
      </c>
      <c r="G3" s="68">
        <v>45658</v>
      </c>
      <c r="H3" s="51">
        <v>80000</v>
      </c>
      <c r="I3" s="51">
        <v>32000</v>
      </c>
      <c r="J3" s="52" t="s">
        <v>324</v>
      </c>
    </row>
    <row r="4" spans="1:10">
      <c r="A4" s="11">
        <v>3</v>
      </c>
      <c r="B4" s="67">
        <v>103</v>
      </c>
      <c r="C4" s="51" t="s">
        <v>138</v>
      </c>
      <c r="D4" s="51" t="s">
        <v>236</v>
      </c>
      <c r="E4" s="51" t="s">
        <v>316</v>
      </c>
      <c r="F4" s="71" t="s">
        <v>321</v>
      </c>
      <c r="G4" s="68">
        <v>45658</v>
      </c>
      <c r="H4" s="51">
        <v>75000</v>
      </c>
      <c r="I4" s="51">
        <v>45000</v>
      </c>
      <c r="J4" s="52" t="s">
        <v>325</v>
      </c>
    </row>
    <row r="5" spans="1:10">
      <c r="A5" s="11">
        <v>4</v>
      </c>
      <c r="B5" s="67">
        <v>104</v>
      </c>
      <c r="C5" s="51" t="s">
        <v>139</v>
      </c>
      <c r="D5" s="51" t="s">
        <v>237</v>
      </c>
      <c r="E5" s="51" t="s">
        <v>316</v>
      </c>
      <c r="F5" s="71" t="s">
        <v>319</v>
      </c>
      <c r="G5" s="68">
        <v>45658</v>
      </c>
      <c r="H5" s="51">
        <v>42000</v>
      </c>
      <c r="I5" s="51">
        <v>42000</v>
      </c>
      <c r="J5" s="52" t="s">
        <v>323</v>
      </c>
    </row>
    <row r="6" spans="1:10">
      <c r="A6" s="11">
        <v>5</v>
      </c>
      <c r="B6" s="67">
        <v>105</v>
      </c>
      <c r="C6" s="51" t="s">
        <v>145</v>
      </c>
      <c r="D6" s="51" t="s">
        <v>238</v>
      </c>
      <c r="E6" s="51" t="s">
        <v>316</v>
      </c>
      <c r="F6" s="71" t="s">
        <v>319</v>
      </c>
      <c r="G6" s="68">
        <v>45658</v>
      </c>
      <c r="H6" s="51">
        <v>42000</v>
      </c>
      <c r="I6" s="51">
        <v>13000</v>
      </c>
      <c r="J6" s="52" t="s">
        <v>326</v>
      </c>
    </row>
    <row r="7" spans="1:10">
      <c r="A7" s="11">
        <v>6</v>
      </c>
      <c r="B7" s="67">
        <v>106</v>
      </c>
      <c r="C7" s="51" t="s">
        <v>140</v>
      </c>
      <c r="D7" s="51" t="s">
        <v>137</v>
      </c>
      <c r="E7" s="51" t="s">
        <v>316</v>
      </c>
      <c r="F7" s="71" t="s">
        <v>322</v>
      </c>
      <c r="G7" s="68">
        <v>45658</v>
      </c>
      <c r="H7" s="51">
        <v>55000</v>
      </c>
      <c r="I7" s="51">
        <v>48000</v>
      </c>
      <c r="J7" s="52" t="s">
        <v>323</v>
      </c>
    </row>
    <row r="8" spans="1:10">
      <c r="A8" s="11">
        <v>7</v>
      </c>
      <c r="B8" s="67">
        <v>107</v>
      </c>
      <c r="C8" s="51" t="s">
        <v>141</v>
      </c>
      <c r="D8" s="51" t="s">
        <v>239</v>
      </c>
      <c r="E8" s="51" t="s">
        <v>316</v>
      </c>
      <c r="F8" s="71" t="s">
        <v>319</v>
      </c>
      <c r="G8" s="68">
        <v>45658</v>
      </c>
      <c r="H8" s="51">
        <v>42000</v>
      </c>
      <c r="I8" s="51">
        <v>27000</v>
      </c>
      <c r="J8" s="52" t="s">
        <v>324</v>
      </c>
    </row>
    <row r="9" spans="1:10">
      <c r="A9" s="11">
        <v>8</v>
      </c>
      <c r="B9" s="67">
        <v>108</v>
      </c>
      <c r="C9" s="51" t="s">
        <v>142</v>
      </c>
      <c r="D9" s="51" t="s">
        <v>239</v>
      </c>
      <c r="E9" s="51" t="s">
        <v>316</v>
      </c>
      <c r="F9" s="71" t="s">
        <v>320</v>
      </c>
      <c r="G9" s="68">
        <v>45658</v>
      </c>
      <c r="H9" s="51">
        <v>80000</v>
      </c>
      <c r="I9" s="51">
        <v>80000</v>
      </c>
      <c r="J9" s="52" t="s">
        <v>324</v>
      </c>
    </row>
    <row r="10" spans="1:10">
      <c r="A10" s="11">
        <v>9</v>
      </c>
      <c r="B10" s="67">
        <v>109</v>
      </c>
      <c r="C10" s="51" t="s">
        <v>144</v>
      </c>
      <c r="D10" s="51" t="s">
        <v>240</v>
      </c>
      <c r="E10" s="51" t="s">
        <v>316</v>
      </c>
      <c r="F10" s="71" t="s">
        <v>321</v>
      </c>
      <c r="G10" s="68">
        <v>45658</v>
      </c>
      <c r="H10" s="51">
        <v>75000</v>
      </c>
      <c r="I10" s="51">
        <v>72000</v>
      </c>
      <c r="J10" s="52" t="s">
        <v>325</v>
      </c>
    </row>
    <row r="11" spans="1:10">
      <c r="A11" s="11">
        <v>10</v>
      </c>
      <c r="B11" s="67">
        <v>110</v>
      </c>
      <c r="C11" s="51" t="s">
        <v>143</v>
      </c>
      <c r="D11" s="51" t="s">
        <v>240</v>
      </c>
      <c r="E11" s="51" t="s">
        <v>317</v>
      </c>
      <c r="F11" s="71" t="s">
        <v>322</v>
      </c>
      <c r="G11" s="68">
        <v>45658</v>
      </c>
      <c r="H11" s="51">
        <v>55000</v>
      </c>
      <c r="I11" s="51">
        <v>52000</v>
      </c>
      <c r="J11" s="52" t="s">
        <v>326</v>
      </c>
    </row>
    <row r="12" spans="1:10">
      <c r="A12" s="11">
        <v>11</v>
      </c>
      <c r="B12" s="67">
        <v>111</v>
      </c>
      <c r="C12" s="51" t="s">
        <v>146</v>
      </c>
      <c r="D12" s="51" t="s">
        <v>241</v>
      </c>
      <c r="E12" s="51" t="s">
        <v>317</v>
      </c>
      <c r="F12" s="71" t="s">
        <v>321</v>
      </c>
      <c r="G12" s="68">
        <v>45658</v>
      </c>
      <c r="H12" s="51">
        <v>75000</v>
      </c>
      <c r="I12" s="51">
        <v>27000</v>
      </c>
      <c r="J12" s="52" t="s">
        <v>327</v>
      </c>
    </row>
    <row r="13" spans="1:10">
      <c r="A13" s="11">
        <v>12</v>
      </c>
      <c r="B13" s="67">
        <v>112</v>
      </c>
      <c r="C13" s="51" t="s">
        <v>147</v>
      </c>
      <c r="D13" s="51" t="s">
        <v>242</v>
      </c>
      <c r="E13" s="51" t="s">
        <v>316</v>
      </c>
      <c r="F13" s="71" t="s">
        <v>321</v>
      </c>
      <c r="G13" s="68">
        <v>45658</v>
      </c>
      <c r="H13" s="51">
        <v>75000</v>
      </c>
      <c r="I13" s="51">
        <v>59000</v>
      </c>
      <c r="J13" s="52" t="s">
        <v>327</v>
      </c>
    </row>
    <row r="14" spans="1:10">
      <c r="A14" s="11">
        <v>13</v>
      </c>
      <c r="B14" s="67">
        <v>113</v>
      </c>
      <c r="C14" s="51" t="s">
        <v>148</v>
      </c>
      <c r="D14" s="51" t="s">
        <v>243</v>
      </c>
      <c r="E14" s="51" t="s">
        <v>316</v>
      </c>
      <c r="F14" s="71" t="s">
        <v>320</v>
      </c>
      <c r="G14" s="68">
        <v>45689</v>
      </c>
      <c r="H14" s="51">
        <v>80000</v>
      </c>
      <c r="I14" s="51">
        <v>74000</v>
      </c>
      <c r="J14" s="52" t="s">
        <v>326</v>
      </c>
    </row>
    <row r="15" spans="1:10">
      <c r="A15" s="11">
        <v>14</v>
      </c>
      <c r="B15" s="67">
        <v>114</v>
      </c>
      <c r="C15" s="51" t="s">
        <v>149</v>
      </c>
      <c r="D15" s="51" t="s">
        <v>244</v>
      </c>
      <c r="E15" s="51" t="s">
        <v>316</v>
      </c>
      <c r="F15" s="71" t="s">
        <v>322</v>
      </c>
      <c r="G15" s="68">
        <v>45689</v>
      </c>
      <c r="H15" s="51">
        <v>55000</v>
      </c>
      <c r="I15" s="51">
        <v>42600</v>
      </c>
      <c r="J15" s="52" t="s">
        <v>323</v>
      </c>
    </row>
    <row r="16" spans="1:10">
      <c r="A16" s="11">
        <v>15</v>
      </c>
      <c r="B16" s="67">
        <v>115</v>
      </c>
      <c r="C16" s="51" t="s">
        <v>150</v>
      </c>
      <c r="D16" s="51" t="s">
        <v>245</v>
      </c>
      <c r="E16" s="51" t="s">
        <v>317</v>
      </c>
      <c r="F16" s="71" t="s">
        <v>321</v>
      </c>
      <c r="G16" s="68">
        <v>45689</v>
      </c>
      <c r="H16" s="51">
        <v>75000</v>
      </c>
      <c r="I16" s="51">
        <v>67000</v>
      </c>
      <c r="J16" s="52" t="s">
        <v>323</v>
      </c>
    </row>
    <row r="17" spans="1:10">
      <c r="A17" s="11">
        <v>16</v>
      </c>
      <c r="B17" s="67">
        <v>116</v>
      </c>
      <c r="C17" s="51" t="s">
        <v>151</v>
      </c>
      <c r="D17" s="51" t="s">
        <v>246</v>
      </c>
      <c r="E17" s="51" t="s">
        <v>317</v>
      </c>
      <c r="F17" s="71" t="s">
        <v>322</v>
      </c>
      <c r="G17" s="68">
        <v>45689</v>
      </c>
      <c r="H17" s="51">
        <v>55000</v>
      </c>
      <c r="I17" s="51">
        <v>55000</v>
      </c>
      <c r="J17" s="52" t="s">
        <v>323</v>
      </c>
    </row>
    <row r="18" spans="1:10">
      <c r="A18" s="11">
        <v>17</v>
      </c>
      <c r="B18" s="67">
        <v>117</v>
      </c>
      <c r="C18" s="51" t="s">
        <v>152</v>
      </c>
      <c r="D18" s="51" t="s">
        <v>247</v>
      </c>
      <c r="E18" s="51" t="s">
        <v>316</v>
      </c>
      <c r="F18" s="71" t="s">
        <v>320</v>
      </c>
      <c r="G18" s="68">
        <v>45689</v>
      </c>
      <c r="H18" s="51">
        <v>80000</v>
      </c>
      <c r="I18" s="51">
        <v>78200</v>
      </c>
      <c r="J18" s="52" t="s">
        <v>324</v>
      </c>
    </row>
    <row r="19" spans="1:10">
      <c r="A19" s="11">
        <v>18</v>
      </c>
      <c r="B19" s="67">
        <v>118</v>
      </c>
      <c r="C19" s="51" t="s">
        <v>153</v>
      </c>
      <c r="D19" s="51" t="s">
        <v>248</v>
      </c>
      <c r="E19" s="51" t="s">
        <v>316</v>
      </c>
      <c r="F19" s="71" t="s">
        <v>319</v>
      </c>
      <c r="G19" s="68">
        <v>45689</v>
      </c>
      <c r="H19" s="51">
        <v>42000</v>
      </c>
      <c r="I19" s="51">
        <v>41000</v>
      </c>
      <c r="J19" s="52" t="s">
        <v>326</v>
      </c>
    </row>
    <row r="20" spans="1:10">
      <c r="A20" s="11">
        <v>19</v>
      </c>
      <c r="B20" s="67">
        <v>119</v>
      </c>
      <c r="C20" s="51" t="s">
        <v>154</v>
      </c>
      <c r="D20" s="51" t="s">
        <v>249</v>
      </c>
      <c r="E20" s="51" t="s">
        <v>316</v>
      </c>
      <c r="F20" s="71" t="s">
        <v>319</v>
      </c>
      <c r="G20" s="68">
        <v>45689</v>
      </c>
      <c r="H20" s="51">
        <v>42000</v>
      </c>
      <c r="I20" s="51">
        <v>39000</v>
      </c>
      <c r="J20" s="52" t="s">
        <v>324</v>
      </c>
    </row>
    <row r="21" spans="1:10">
      <c r="A21" s="11">
        <v>20</v>
      </c>
      <c r="B21" s="67">
        <v>120</v>
      </c>
      <c r="C21" s="51" t="s">
        <v>155</v>
      </c>
      <c r="D21" s="51" t="s">
        <v>250</v>
      </c>
      <c r="E21" s="51" t="s">
        <v>316</v>
      </c>
      <c r="F21" s="71" t="s">
        <v>321</v>
      </c>
      <c r="G21" s="68">
        <v>45717</v>
      </c>
      <c r="H21" s="51">
        <v>75000</v>
      </c>
      <c r="I21" s="51">
        <v>62800</v>
      </c>
      <c r="J21" s="52" t="s">
        <v>324</v>
      </c>
    </row>
    <row r="22" spans="1:10">
      <c r="A22" s="11">
        <v>21</v>
      </c>
      <c r="B22" s="67">
        <v>121</v>
      </c>
      <c r="C22" s="51" t="s">
        <v>156</v>
      </c>
      <c r="D22" s="51" t="s">
        <v>250</v>
      </c>
      <c r="E22" s="51" t="s">
        <v>316</v>
      </c>
      <c r="F22" s="71" t="s">
        <v>320</v>
      </c>
      <c r="G22" s="68">
        <v>45717</v>
      </c>
      <c r="H22" s="51">
        <v>80000</v>
      </c>
      <c r="I22" s="51">
        <v>78000</v>
      </c>
      <c r="J22" s="52" t="s">
        <v>325</v>
      </c>
    </row>
    <row r="23" spans="1:10">
      <c r="A23" s="11">
        <v>22</v>
      </c>
      <c r="B23" s="67">
        <v>122</v>
      </c>
      <c r="C23" s="51" t="s">
        <v>157</v>
      </c>
      <c r="D23" s="51" t="s">
        <v>251</v>
      </c>
      <c r="E23" s="51" t="s">
        <v>316</v>
      </c>
      <c r="F23" s="71" t="s">
        <v>319</v>
      </c>
      <c r="G23" s="68">
        <v>45717</v>
      </c>
      <c r="H23" s="51">
        <v>42000</v>
      </c>
      <c r="I23" s="51">
        <v>38000</v>
      </c>
      <c r="J23" s="52" t="s">
        <v>326</v>
      </c>
    </row>
    <row r="24" spans="1:10">
      <c r="A24" s="11">
        <v>23</v>
      </c>
      <c r="B24" s="67">
        <v>123</v>
      </c>
      <c r="C24" s="51" t="s">
        <v>158</v>
      </c>
      <c r="D24" s="51" t="s">
        <v>252</v>
      </c>
      <c r="E24" s="51" t="s">
        <v>317</v>
      </c>
      <c r="F24" s="71" t="s">
        <v>322</v>
      </c>
      <c r="G24" s="68">
        <v>45717</v>
      </c>
      <c r="H24" s="51">
        <v>55000</v>
      </c>
      <c r="I24" s="51">
        <v>51000</v>
      </c>
      <c r="J24" s="52" t="s">
        <v>327</v>
      </c>
    </row>
    <row r="25" spans="1:10">
      <c r="A25" s="11">
        <v>24</v>
      </c>
      <c r="B25" s="67">
        <v>124</v>
      </c>
      <c r="C25" s="51" t="s">
        <v>165</v>
      </c>
      <c r="D25" s="51" t="s">
        <v>253</v>
      </c>
      <c r="E25" s="51" t="s">
        <v>316</v>
      </c>
      <c r="F25" s="71" t="s">
        <v>321</v>
      </c>
      <c r="G25" s="68">
        <v>45717</v>
      </c>
      <c r="H25" s="51">
        <v>75000</v>
      </c>
      <c r="I25" s="51">
        <v>73000</v>
      </c>
      <c r="J25" s="52" t="s">
        <v>323</v>
      </c>
    </row>
    <row r="26" spans="1:10">
      <c r="A26" s="11">
        <v>25</v>
      </c>
      <c r="B26" s="67">
        <v>125</v>
      </c>
      <c r="C26" s="51" t="s">
        <v>159</v>
      </c>
      <c r="D26" s="51" t="s">
        <v>254</v>
      </c>
      <c r="E26" s="51" t="s">
        <v>317</v>
      </c>
      <c r="F26" s="71" t="s">
        <v>319</v>
      </c>
      <c r="G26" s="68">
        <v>45717</v>
      </c>
      <c r="H26" s="51">
        <v>42000</v>
      </c>
      <c r="I26" s="51">
        <v>29400</v>
      </c>
      <c r="J26" s="52" t="s">
        <v>325</v>
      </c>
    </row>
    <row r="27" spans="1:10">
      <c r="A27" s="11">
        <v>26</v>
      </c>
      <c r="B27" s="67">
        <v>126</v>
      </c>
      <c r="C27" s="51" t="s">
        <v>160</v>
      </c>
      <c r="D27" s="51" t="s">
        <v>255</v>
      </c>
      <c r="E27" s="51" t="s">
        <v>316</v>
      </c>
      <c r="F27" s="71" t="s">
        <v>322</v>
      </c>
      <c r="G27" s="68">
        <v>45717</v>
      </c>
      <c r="H27" s="51">
        <v>55000</v>
      </c>
      <c r="I27" s="51">
        <v>52000</v>
      </c>
      <c r="J27" s="52" t="s">
        <v>327</v>
      </c>
    </row>
    <row r="28" spans="1:10">
      <c r="A28" s="11">
        <v>27</v>
      </c>
      <c r="B28" s="67">
        <v>127</v>
      </c>
      <c r="C28" s="51" t="s">
        <v>161</v>
      </c>
      <c r="D28" s="51" t="s">
        <v>256</v>
      </c>
      <c r="E28" s="51" t="s">
        <v>316</v>
      </c>
      <c r="F28" s="71" t="s">
        <v>319</v>
      </c>
      <c r="G28" s="68">
        <v>45717</v>
      </c>
      <c r="H28" s="51">
        <v>42000</v>
      </c>
      <c r="I28" s="51">
        <v>42000</v>
      </c>
      <c r="J28" s="52" t="s">
        <v>324</v>
      </c>
    </row>
    <row r="29" spans="1:10">
      <c r="A29" s="11">
        <v>28</v>
      </c>
      <c r="B29" s="67">
        <v>128</v>
      </c>
      <c r="C29" s="51" t="s">
        <v>162</v>
      </c>
      <c r="D29" s="51" t="s">
        <v>257</v>
      </c>
      <c r="E29" s="51" t="s">
        <v>316</v>
      </c>
      <c r="F29" s="71" t="s">
        <v>322</v>
      </c>
      <c r="G29" s="68">
        <v>45717</v>
      </c>
      <c r="H29" s="51">
        <v>55000</v>
      </c>
      <c r="I29" s="51">
        <v>52000</v>
      </c>
      <c r="J29" s="52" t="s">
        <v>325</v>
      </c>
    </row>
    <row r="30" spans="1:10">
      <c r="A30" s="11">
        <v>29</v>
      </c>
      <c r="B30" s="67">
        <v>129</v>
      </c>
      <c r="C30" s="51" t="s">
        <v>163</v>
      </c>
      <c r="D30" s="51" t="s">
        <v>258</v>
      </c>
      <c r="E30" s="51" t="s">
        <v>316</v>
      </c>
      <c r="F30" s="71" t="s">
        <v>320</v>
      </c>
      <c r="G30" s="68">
        <v>45717</v>
      </c>
      <c r="H30" s="51">
        <v>80000</v>
      </c>
      <c r="I30" s="51">
        <v>80000</v>
      </c>
      <c r="J30" s="52" t="s">
        <v>323</v>
      </c>
    </row>
    <row r="31" spans="1:10">
      <c r="A31" s="11">
        <v>30</v>
      </c>
      <c r="B31" s="67">
        <v>130</v>
      </c>
      <c r="C31" s="51" t="s">
        <v>164</v>
      </c>
      <c r="D31" s="51" t="s">
        <v>259</v>
      </c>
      <c r="E31" s="51" t="s">
        <v>316</v>
      </c>
      <c r="F31" s="71" t="s">
        <v>321</v>
      </c>
      <c r="G31" s="68">
        <v>45717</v>
      </c>
      <c r="H31" s="51">
        <v>75000</v>
      </c>
      <c r="I31" s="51">
        <v>75000</v>
      </c>
      <c r="J31" s="52" t="s">
        <v>323</v>
      </c>
    </row>
    <row r="32" spans="1:10">
      <c r="A32" s="11"/>
      <c r="B32" s="67">
        <v>131</v>
      </c>
      <c r="C32" s="51" t="s">
        <v>166</v>
      </c>
      <c r="D32" s="51" t="s">
        <v>260</v>
      </c>
      <c r="E32" s="51" t="s">
        <v>316</v>
      </c>
      <c r="F32" s="71" t="s">
        <v>319</v>
      </c>
      <c r="G32" s="68">
        <v>45717</v>
      </c>
      <c r="H32" s="51">
        <v>42000</v>
      </c>
      <c r="I32" s="51">
        <v>38000</v>
      </c>
      <c r="J32" s="52" t="s">
        <v>324</v>
      </c>
    </row>
    <row r="33" spans="1:10">
      <c r="A33" s="11">
        <v>32</v>
      </c>
      <c r="B33" s="67">
        <v>132</v>
      </c>
      <c r="C33" s="51" t="s">
        <v>167</v>
      </c>
      <c r="D33" s="51" t="s">
        <v>261</v>
      </c>
      <c r="E33" s="51" t="s">
        <v>316</v>
      </c>
      <c r="F33" s="71" t="s">
        <v>322</v>
      </c>
      <c r="G33" s="68">
        <v>45717</v>
      </c>
      <c r="H33" s="51">
        <v>55000</v>
      </c>
      <c r="I33" s="51">
        <v>55000</v>
      </c>
      <c r="J33" s="52" t="s">
        <v>325</v>
      </c>
    </row>
    <row r="34" spans="1:10">
      <c r="A34" s="11">
        <v>33</v>
      </c>
      <c r="B34" s="67">
        <v>133</v>
      </c>
      <c r="C34" s="51" t="s">
        <v>168</v>
      </c>
      <c r="D34" s="51" t="s">
        <v>141</v>
      </c>
      <c r="E34" s="51" t="s">
        <v>316</v>
      </c>
      <c r="F34" s="71" t="s">
        <v>319</v>
      </c>
      <c r="G34" s="68">
        <v>45717</v>
      </c>
      <c r="H34" s="51">
        <v>42000</v>
      </c>
      <c r="I34" s="51">
        <v>36000</v>
      </c>
      <c r="J34" s="52" t="s">
        <v>325</v>
      </c>
    </row>
    <row r="35" spans="1:10">
      <c r="A35" s="11">
        <v>34</v>
      </c>
      <c r="B35" s="67">
        <v>134</v>
      </c>
      <c r="C35" s="51" t="s">
        <v>169</v>
      </c>
      <c r="D35" s="51" t="s">
        <v>262</v>
      </c>
      <c r="E35" s="51" t="s">
        <v>316</v>
      </c>
      <c r="F35" s="71" t="s">
        <v>322</v>
      </c>
      <c r="G35" s="68">
        <v>45717</v>
      </c>
      <c r="H35" s="51">
        <v>55000</v>
      </c>
      <c r="I35" s="51">
        <v>55000</v>
      </c>
      <c r="J35" s="52" t="s">
        <v>324</v>
      </c>
    </row>
    <row r="36" spans="1:10">
      <c r="A36" s="11">
        <v>35</v>
      </c>
      <c r="B36" s="67">
        <v>135</v>
      </c>
      <c r="C36" s="51" t="s">
        <v>170</v>
      </c>
      <c r="D36" s="51" t="s">
        <v>263</v>
      </c>
      <c r="E36" s="51" t="s">
        <v>316</v>
      </c>
      <c r="F36" s="71" t="s">
        <v>320</v>
      </c>
      <c r="G36" s="68">
        <v>45748</v>
      </c>
      <c r="H36" s="51">
        <v>80000</v>
      </c>
      <c r="I36" s="51">
        <v>75000</v>
      </c>
      <c r="J36" s="52" t="s">
        <v>323</v>
      </c>
    </row>
    <row r="37" spans="1:10">
      <c r="A37" s="11">
        <v>36</v>
      </c>
      <c r="B37" s="67">
        <v>136</v>
      </c>
      <c r="C37" s="51" t="s">
        <v>224</v>
      </c>
      <c r="D37" s="51" t="s">
        <v>264</v>
      </c>
      <c r="E37" s="51" t="s">
        <v>316</v>
      </c>
      <c r="F37" s="71" t="s">
        <v>322</v>
      </c>
      <c r="G37" s="68">
        <v>45748</v>
      </c>
      <c r="H37" s="51">
        <v>55000</v>
      </c>
      <c r="I37" s="51">
        <v>43000</v>
      </c>
      <c r="J37" s="52" t="s">
        <v>325</v>
      </c>
    </row>
    <row r="38" spans="1:10">
      <c r="A38" s="11">
        <v>37</v>
      </c>
      <c r="B38" s="67">
        <v>137</v>
      </c>
      <c r="C38" s="51" t="s">
        <v>171</v>
      </c>
      <c r="D38" s="51" t="s">
        <v>265</v>
      </c>
      <c r="E38" s="51" t="s">
        <v>317</v>
      </c>
      <c r="F38" s="71" t="s">
        <v>319</v>
      </c>
      <c r="G38" s="68">
        <v>45748</v>
      </c>
      <c r="H38" s="51">
        <v>42000</v>
      </c>
      <c r="I38" s="51">
        <v>42000</v>
      </c>
      <c r="J38" s="52" t="s">
        <v>326</v>
      </c>
    </row>
    <row r="39" spans="1:10">
      <c r="A39" s="11">
        <v>38</v>
      </c>
      <c r="B39" s="67">
        <v>138</v>
      </c>
      <c r="C39" s="51" t="s">
        <v>172</v>
      </c>
      <c r="D39" s="51" t="s">
        <v>266</v>
      </c>
      <c r="E39" s="51" t="s">
        <v>316</v>
      </c>
      <c r="F39" s="71" t="s">
        <v>320</v>
      </c>
      <c r="G39" s="68">
        <v>45748</v>
      </c>
      <c r="H39" s="51">
        <v>80000</v>
      </c>
      <c r="I39" s="51">
        <v>80000</v>
      </c>
      <c r="J39" s="52" t="s">
        <v>323</v>
      </c>
    </row>
    <row r="40" spans="1:10">
      <c r="A40" s="11">
        <v>39</v>
      </c>
      <c r="B40" s="67">
        <v>139</v>
      </c>
      <c r="C40" s="51" t="s">
        <v>173</v>
      </c>
      <c r="D40" s="51" t="s">
        <v>267</v>
      </c>
      <c r="E40" s="51" t="s">
        <v>316</v>
      </c>
      <c r="F40" s="71" t="s">
        <v>322</v>
      </c>
      <c r="G40" s="68">
        <v>45748</v>
      </c>
      <c r="H40" s="51">
        <v>55000</v>
      </c>
      <c r="I40" s="51">
        <v>48000</v>
      </c>
      <c r="J40" s="52" t="s">
        <v>326</v>
      </c>
    </row>
    <row r="41" spans="1:10">
      <c r="A41" s="11">
        <v>40</v>
      </c>
      <c r="B41" s="67">
        <v>140</v>
      </c>
      <c r="C41" s="51" t="s">
        <v>174</v>
      </c>
      <c r="D41" s="51" t="s">
        <v>268</v>
      </c>
      <c r="E41" s="51" t="s">
        <v>316</v>
      </c>
      <c r="F41" s="71" t="s">
        <v>319</v>
      </c>
      <c r="G41" s="68">
        <v>45748</v>
      </c>
      <c r="H41" s="51">
        <v>42000</v>
      </c>
      <c r="I41" s="51">
        <v>40000</v>
      </c>
      <c r="J41" s="52" t="s">
        <v>327</v>
      </c>
    </row>
    <row r="42" spans="1:10">
      <c r="A42" s="11">
        <v>41</v>
      </c>
      <c r="B42" s="67">
        <v>141</v>
      </c>
      <c r="C42" s="51" t="s">
        <v>175</v>
      </c>
      <c r="D42" s="51" t="s">
        <v>269</v>
      </c>
      <c r="E42" s="51" t="s">
        <v>316</v>
      </c>
      <c r="F42" s="71" t="s">
        <v>322</v>
      </c>
      <c r="G42" s="68">
        <v>45748</v>
      </c>
      <c r="H42" s="51">
        <v>55000</v>
      </c>
      <c r="I42" s="51">
        <v>50000</v>
      </c>
      <c r="J42" s="52" t="s">
        <v>324</v>
      </c>
    </row>
    <row r="43" spans="1:10">
      <c r="A43" s="11">
        <v>42</v>
      </c>
      <c r="B43" s="67">
        <v>142</v>
      </c>
      <c r="C43" s="51" t="s">
        <v>176</v>
      </c>
      <c r="D43" s="51" t="s">
        <v>270</v>
      </c>
      <c r="E43" s="51" t="s">
        <v>316</v>
      </c>
      <c r="F43" s="71" t="s">
        <v>322</v>
      </c>
      <c r="G43" s="68">
        <v>45748</v>
      </c>
      <c r="H43" s="51">
        <v>55000</v>
      </c>
      <c r="I43" s="51">
        <v>50000</v>
      </c>
      <c r="J43" s="52" t="s">
        <v>323</v>
      </c>
    </row>
    <row r="44" spans="1:10">
      <c r="A44" s="11">
        <v>43</v>
      </c>
      <c r="B44" s="67">
        <v>143</v>
      </c>
      <c r="C44" s="51" t="s">
        <v>177</v>
      </c>
      <c r="D44" s="51" t="s">
        <v>271</v>
      </c>
      <c r="E44" s="51" t="s">
        <v>316</v>
      </c>
      <c r="F44" s="71" t="s">
        <v>319</v>
      </c>
      <c r="G44" s="68">
        <v>45748</v>
      </c>
      <c r="H44" s="51">
        <v>42000</v>
      </c>
      <c r="I44" s="51">
        <v>40000</v>
      </c>
      <c r="J44" s="52" t="s">
        <v>324</v>
      </c>
    </row>
    <row r="45" spans="1:10">
      <c r="A45" s="11">
        <v>44</v>
      </c>
      <c r="B45" s="67">
        <v>144</v>
      </c>
      <c r="C45" s="51" t="s">
        <v>178</v>
      </c>
      <c r="D45" s="51" t="s">
        <v>272</v>
      </c>
      <c r="E45" s="51" t="s">
        <v>317</v>
      </c>
      <c r="F45" s="71" t="s">
        <v>322</v>
      </c>
      <c r="G45" s="68">
        <v>45748</v>
      </c>
      <c r="H45" s="51">
        <v>55000</v>
      </c>
      <c r="I45" s="51">
        <v>55000</v>
      </c>
      <c r="J45" s="52" t="s">
        <v>325</v>
      </c>
    </row>
    <row r="46" spans="1:10">
      <c r="A46" s="11">
        <v>45</v>
      </c>
      <c r="B46" s="67">
        <v>145</v>
      </c>
      <c r="C46" s="51" t="s">
        <v>179</v>
      </c>
      <c r="D46" s="51" t="s">
        <v>273</v>
      </c>
      <c r="E46" s="51" t="s">
        <v>316</v>
      </c>
      <c r="F46" s="71" t="s">
        <v>322</v>
      </c>
      <c r="G46" s="68">
        <v>45748</v>
      </c>
      <c r="H46" s="51">
        <v>55000</v>
      </c>
      <c r="I46" s="51">
        <v>48000</v>
      </c>
      <c r="J46" s="52" t="s">
        <v>327</v>
      </c>
    </row>
    <row r="47" spans="1:10">
      <c r="A47" s="11">
        <v>46</v>
      </c>
      <c r="B47" s="67">
        <v>146</v>
      </c>
      <c r="C47" s="51" t="s">
        <v>180</v>
      </c>
      <c r="D47" s="51" t="s">
        <v>274</v>
      </c>
      <c r="E47" s="51" t="s">
        <v>316</v>
      </c>
      <c r="F47" s="71" t="s">
        <v>321</v>
      </c>
      <c r="G47" s="68">
        <v>45748</v>
      </c>
      <c r="H47" s="51">
        <v>75000</v>
      </c>
      <c r="I47" s="51">
        <v>75000</v>
      </c>
      <c r="J47" s="52" t="s">
        <v>323</v>
      </c>
    </row>
    <row r="48" spans="1:10">
      <c r="A48" s="11">
        <v>47</v>
      </c>
      <c r="B48" s="67">
        <v>147</v>
      </c>
      <c r="C48" s="51" t="s">
        <v>181</v>
      </c>
      <c r="D48" s="51" t="s">
        <v>275</v>
      </c>
      <c r="E48" s="51" t="s">
        <v>316</v>
      </c>
      <c r="F48" s="71" t="s">
        <v>322</v>
      </c>
      <c r="G48" s="68">
        <v>45748</v>
      </c>
      <c r="H48" s="51">
        <v>55000</v>
      </c>
      <c r="I48" s="51">
        <v>55000</v>
      </c>
      <c r="J48" s="52" t="s">
        <v>323</v>
      </c>
    </row>
    <row r="49" spans="1:10">
      <c r="A49" s="11">
        <v>48</v>
      </c>
      <c r="B49" s="67">
        <v>148</v>
      </c>
      <c r="C49" s="51" t="s">
        <v>182</v>
      </c>
      <c r="D49" s="51" t="s">
        <v>276</v>
      </c>
      <c r="E49" s="51" t="s">
        <v>316</v>
      </c>
      <c r="F49" s="71" t="s">
        <v>322</v>
      </c>
      <c r="G49" s="68">
        <v>45748</v>
      </c>
      <c r="H49" s="51">
        <v>55000</v>
      </c>
      <c r="I49" s="51">
        <v>55000</v>
      </c>
      <c r="J49" s="52" t="s">
        <v>323</v>
      </c>
    </row>
    <row r="50" spans="1:10">
      <c r="A50" s="11">
        <v>49</v>
      </c>
      <c r="B50" s="67">
        <v>149</v>
      </c>
      <c r="C50" s="51" t="s">
        <v>183</v>
      </c>
      <c r="D50" s="51" t="s">
        <v>277</v>
      </c>
      <c r="E50" s="51" t="s">
        <v>316</v>
      </c>
      <c r="F50" s="71" t="s">
        <v>320</v>
      </c>
      <c r="G50" s="68">
        <v>45748</v>
      </c>
      <c r="H50" s="51">
        <v>80000</v>
      </c>
      <c r="I50" s="51">
        <v>80000</v>
      </c>
      <c r="J50" s="52" t="s">
        <v>323</v>
      </c>
    </row>
    <row r="51" spans="1:10">
      <c r="A51" s="11">
        <v>50</v>
      </c>
      <c r="B51" s="67">
        <v>150</v>
      </c>
      <c r="C51" s="51" t="s">
        <v>184</v>
      </c>
      <c r="D51" s="51" t="s">
        <v>278</v>
      </c>
      <c r="E51" s="51" t="s">
        <v>316</v>
      </c>
      <c r="F51" s="71" t="s">
        <v>322</v>
      </c>
      <c r="G51" s="68">
        <v>45748</v>
      </c>
      <c r="H51" s="51">
        <v>55000</v>
      </c>
      <c r="I51" s="51">
        <v>55000</v>
      </c>
      <c r="J51" s="52" t="s">
        <v>323</v>
      </c>
    </row>
    <row r="52" spans="1:10">
      <c r="A52" s="11">
        <v>51</v>
      </c>
      <c r="B52" s="67">
        <v>151</v>
      </c>
      <c r="C52" s="51" t="s">
        <v>185</v>
      </c>
      <c r="D52" s="51" t="s">
        <v>279</v>
      </c>
      <c r="E52" s="51" t="s">
        <v>316</v>
      </c>
      <c r="F52" s="71" t="s">
        <v>322</v>
      </c>
      <c r="G52" s="68">
        <v>45748</v>
      </c>
      <c r="H52" s="51">
        <v>55000</v>
      </c>
      <c r="I52" s="51">
        <v>52000</v>
      </c>
      <c r="J52" s="52" t="s">
        <v>327</v>
      </c>
    </row>
    <row r="53" spans="1:10">
      <c r="A53" s="11">
        <v>52</v>
      </c>
      <c r="B53" s="67">
        <v>152</v>
      </c>
      <c r="C53" s="51" t="s">
        <v>186</v>
      </c>
      <c r="D53" s="51" t="s">
        <v>280</v>
      </c>
      <c r="E53" s="51" t="s">
        <v>316</v>
      </c>
      <c r="F53" s="71" t="s">
        <v>321</v>
      </c>
      <c r="G53" s="68">
        <v>45748</v>
      </c>
      <c r="H53" s="51">
        <v>75000</v>
      </c>
      <c r="I53" s="51">
        <v>75000</v>
      </c>
      <c r="J53" s="52" t="s">
        <v>325</v>
      </c>
    </row>
    <row r="54" spans="1:10">
      <c r="A54" s="11">
        <v>53</v>
      </c>
      <c r="B54" s="67">
        <v>153</v>
      </c>
      <c r="C54" s="51" t="s">
        <v>187</v>
      </c>
      <c r="D54" s="51" t="s">
        <v>281</v>
      </c>
      <c r="E54" s="51" t="s">
        <v>316</v>
      </c>
      <c r="F54" s="71" t="s">
        <v>320</v>
      </c>
      <c r="G54" s="68">
        <v>45748</v>
      </c>
      <c r="H54" s="51">
        <v>80000</v>
      </c>
      <c r="I54" s="51">
        <v>80000</v>
      </c>
      <c r="J54" s="52" t="s">
        <v>324</v>
      </c>
    </row>
    <row r="55" spans="1:10">
      <c r="A55" s="11">
        <v>54</v>
      </c>
      <c r="B55" s="67">
        <v>154</v>
      </c>
      <c r="C55" s="51" t="s">
        <v>188</v>
      </c>
      <c r="D55" s="51" t="s">
        <v>282</v>
      </c>
      <c r="E55" s="51" t="s">
        <v>316</v>
      </c>
      <c r="F55" s="71" t="s">
        <v>319</v>
      </c>
      <c r="G55" s="68">
        <v>45748</v>
      </c>
      <c r="H55" s="51">
        <v>42000</v>
      </c>
      <c r="I55" s="51">
        <v>36000</v>
      </c>
      <c r="J55" s="52" t="s">
        <v>323</v>
      </c>
    </row>
    <row r="56" spans="1:10">
      <c r="A56" s="11">
        <v>55</v>
      </c>
      <c r="B56" s="67">
        <v>155</v>
      </c>
      <c r="C56" s="51" t="s">
        <v>189</v>
      </c>
      <c r="D56" s="51" t="s">
        <v>283</v>
      </c>
      <c r="E56" s="51" t="s">
        <v>317</v>
      </c>
      <c r="F56" s="71" t="s">
        <v>321</v>
      </c>
      <c r="G56" s="68">
        <v>45748</v>
      </c>
      <c r="H56" s="51">
        <v>75000</v>
      </c>
      <c r="I56" s="51">
        <v>68000</v>
      </c>
      <c r="J56" s="52" t="s">
        <v>327</v>
      </c>
    </row>
    <row r="57" spans="1:10">
      <c r="A57" s="11">
        <v>56</v>
      </c>
      <c r="B57" s="67">
        <v>156</v>
      </c>
      <c r="C57" s="51" t="s">
        <v>190</v>
      </c>
      <c r="D57" s="51" t="s">
        <v>285</v>
      </c>
      <c r="E57" s="51" t="s">
        <v>317</v>
      </c>
      <c r="F57" s="71" t="s">
        <v>322</v>
      </c>
      <c r="G57" s="68">
        <v>45778</v>
      </c>
      <c r="H57" s="51">
        <v>55000</v>
      </c>
      <c r="I57" s="51">
        <v>53000</v>
      </c>
      <c r="J57" s="52" t="s">
        <v>325</v>
      </c>
    </row>
    <row r="58" spans="1:10">
      <c r="A58" s="11">
        <v>57</v>
      </c>
      <c r="B58" s="67">
        <v>157</v>
      </c>
      <c r="C58" s="51" t="s">
        <v>191</v>
      </c>
      <c r="D58" s="51" t="s">
        <v>284</v>
      </c>
      <c r="E58" s="51" t="s">
        <v>316</v>
      </c>
      <c r="F58" s="71" t="s">
        <v>320</v>
      </c>
      <c r="G58" s="68">
        <v>45778</v>
      </c>
      <c r="H58" s="51">
        <v>80000</v>
      </c>
      <c r="I58" s="51">
        <v>78000</v>
      </c>
      <c r="J58" s="52" t="s">
        <v>327</v>
      </c>
    </row>
    <row r="59" spans="1:10">
      <c r="A59" s="11">
        <v>58</v>
      </c>
      <c r="B59" s="67">
        <v>158</v>
      </c>
      <c r="C59" s="51" t="s">
        <v>192</v>
      </c>
      <c r="D59" s="51" t="s">
        <v>286</v>
      </c>
      <c r="E59" s="51" t="s">
        <v>316</v>
      </c>
      <c r="F59" s="71" t="s">
        <v>319</v>
      </c>
      <c r="G59" s="68">
        <v>45778</v>
      </c>
      <c r="H59" s="51">
        <v>42000</v>
      </c>
      <c r="I59" s="51">
        <v>42000</v>
      </c>
      <c r="J59" s="52" t="s">
        <v>324</v>
      </c>
    </row>
    <row r="60" spans="1:10">
      <c r="A60" s="11">
        <v>59</v>
      </c>
      <c r="B60" s="67">
        <v>159</v>
      </c>
      <c r="C60" s="51" t="s">
        <v>193</v>
      </c>
      <c r="D60" s="51" t="s">
        <v>255</v>
      </c>
      <c r="E60" s="51" t="s">
        <v>316</v>
      </c>
      <c r="F60" s="71" t="s">
        <v>319</v>
      </c>
      <c r="G60" s="68">
        <v>45778</v>
      </c>
      <c r="H60" s="51">
        <v>42000</v>
      </c>
      <c r="I60" s="51">
        <v>40000</v>
      </c>
      <c r="J60" s="52" t="s">
        <v>323</v>
      </c>
    </row>
    <row r="61" spans="1:10">
      <c r="A61" s="11">
        <v>60</v>
      </c>
      <c r="B61" s="67">
        <v>160</v>
      </c>
      <c r="C61" s="51" t="s">
        <v>194</v>
      </c>
      <c r="D61" s="51" t="s">
        <v>287</v>
      </c>
      <c r="E61" s="51" t="s">
        <v>316</v>
      </c>
      <c r="F61" s="71" t="s">
        <v>322</v>
      </c>
      <c r="G61" s="68">
        <v>45778</v>
      </c>
      <c r="H61" s="51">
        <v>55000</v>
      </c>
      <c r="I61" s="51">
        <v>50000</v>
      </c>
      <c r="J61" s="52" t="s">
        <v>324</v>
      </c>
    </row>
    <row r="62" spans="1:10">
      <c r="A62" s="11">
        <v>61</v>
      </c>
      <c r="B62" s="67">
        <v>161</v>
      </c>
      <c r="C62" s="51" t="s">
        <v>195</v>
      </c>
      <c r="D62" s="51" t="s">
        <v>288</v>
      </c>
      <c r="E62" s="51" t="s">
        <v>316</v>
      </c>
      <c r="F62" s="71" t="s">
        <v>320</v>
      </c>
      <c r="G62" s="68">
        <v>45778</v>
      </c>
      <c r="H62" s="51">
        <v>80000</v>
      </c>
      <c r="I62" s="51">
        <v>73000</v>
      </c>
      <c r="J62" s="52" t="s">
        <v>325</v>
      </c>
    </row>
    <row r="63" spans="1:10">
      <c r="A63" s="11">
        <v>62</v>
      </c>
      <c r="B63" s="67">
        <v>162</v>
      </c>
      <c r="C63" s="51" t="s">
        <v>196</v>
      </c>
      <c r="D63" s="51" t="s">
        <v>289</v>
      </c>
      <c r="E63" s="51" t="s">
        <v>316</v>
      </c>
      <c r="F63" s="71" t="s">
        <v>322</v>
      </c>
      <c r="G63" s="68">
        <v>45778</v>
      </c>
      <c r="H63" s="51">
        <v>55000</v>
      </c>
      <c r="I63" s="51">
        <v>51000</v>
      </c>
      <c r="J63" s="52" t="s">
        <v>327</v>
      </c>
    </row>
    <row r="64" spans="1:10">
      <c r="A64" s="11">
        <v>63</v>
      </c>
      <c r="B64" s="67">
        <v>163</v>
      </c>
      <c r="C64" s="51" t="s">
        <v>197</v>
      </c>
      <c r="D64" s="51" t="s">
        <v>290</v>
      </c>
      <c r="E64" s="51" t="s">
        <v>316</v>
      </c>
      <c r="F64" s="71" t="s">
        <v>319</v>
      </c>
      <c r="G64" s="68">
        <v>45778</v>
      </c>
      <c r="H64" s="51">
        <v>42000</v>
      </c>
      <c r="I64" s="51">
        <v>40000</v>
      </c>
      <c r="J64" s="52" t="s">
        <v>327</v>
      </c>
    </row>
    <row r="65" spans="1:10">
      <c r="A65" s="11">
        <v>64</v>
      </c>
      <c r="B65" s="67">
        <v>164</v>
      </c>
      <c r="C65" s="51" t="s">
        <v>198</v>
      </c>
      <c r="D65" s="51" t="s">
        <v>291</v>
      </c>
      <c r="E65" s="51" t="s">
        <v>317</v>
      </c>
      <c r="F65" s="71" t="s">
        <v>319</v>
      </c>
      <c r="G65" s="68">
        <v>45778</v>
      </c>
      <c r="H65" s="51">
        <v>42000</v>
      </c>
      <c r="I65" s="51">
        <v>42000</v>
      </c>
      <c r="J65" s="52" t="s">
        <v>323</v>
      </c>
    </row>
    <row r="66" spans="1:10">
      <c r="A66" s="11">
        <v>65</v>
      </c>
      <c r="B66" s="67">
        <v>165</v>
      </c>
      <c r="C66" s="51" t="s">
        <v>199</v>
      </c>
      <c r="D66" s="51" t="s">
        <v>292</v>
      </c>
      <c r="E66" s="51" t="s">
        <v>317</v>
      </c>
      <c r="F66" s="71" t="s">
        <v>319</v>
      </c>
      <c r="G66" s="68">
        <v>45778</v>
      </c>
      <c r="H66" s="51">
        <v>42000</v>
      </c>
      <c r="I66" s="51">
        <v>27000</v>
      </c>
      <c r="J66" s="52" t="s">
        <v>324</v>
      </c>
    </row>
    <row r="67" spans="1:10">
      <c r="A67" s="11">
        <v>66</v>
      </c>
      <c r="B67" s="67">
        <v>166</v>
      </c>
      <c r="C67" s="51" t="s">
        <v>200</v>
      </c>
      <c r="D67" s="51" t="s">
        <v>293</v>
      </c>
      <c r="E67" s="51" t="s">
        <v>317</v>
      </c>
      <c r="F67" s="71" t="s">
        <v>322</v>
      </c>
      <c r="G67" s="68">
        <v>45778</v>
      </c>
      <c r="H67" s="51">
        <v>55000</v>
      </c>
      <c r="I67" s="51">
        <v>55000</v>
      </c>
      <c r="J67" s="52" t="s">
        <v>325</v>
      </c>
    </row>
    <row r="68" spans="1:10">
      <c r="A68" s="11">
        <v>67</v>
      </c>
      <c r="B68" s="67">
        <v>167</v>
      </c>
      <c r="C68" s="51" t="s">
        <v>201</v>
      </c>
      <c r="D68" s="51" t="s">
        <v>294</v>
      </c>
      <c r="E68" s="51" t="s">
        <v>317</v>
      </c>
      <c r="F68" s="71" t="s">
        <v>319</v>
      </c>
      <c r="G68" s="68">
        <v>45778</v>
      </c>
      <c r="H68" s="51">
        <v>42000</v>
      </c>
      <c r="I68" s="51">
        <v>42000</v>
      </c>
      <c r="J68" s="52" t="s">
        <v>324</v>
      </c>
    </row>
    <row r="69" spans="1:10">
      <c r="A69" s="11">
        <v>68</v>
      </c>
      <c r="B69" s="67">
        <v>168</v>
      </c>
      <c r="C69" s="51" t="s">
        <v>202</v>
      </c>
      <c r="D69" s="51" t="s">
        <v>295</v>
      </c>
      <c r="E69" s="51" t="s">
        <v>317</v>
      </c>
      <c r="F69" s="71" t="s">
        <v>320</v>
      </c>
      <c r="G69" s="68">
        <v>45809</v>
      </c>
      <c r="H69" s="51">
        <v>80000</v>
      </c>
      <c r="I69" s="51">
        <v>20000</v>
      </c>
      <c r="J69" s="52" t="s">
        <v>324</v>
      </c>
    </row>
    <row r="70" spans="1:10">
      <c r="A70" s="11">
        <v>69</v>
      </c>
      <c r="B70" s="67">
        <v>169</v>
      </c>
      <c r="C70" s="51" t="s">
        <v>203</v>
      </c>
      <c r="D70" s="51" t="s">
        <v>295</v>
      </c>
      <c r="E70" s="51" t="s">
        <v>317</v>
      </c>
      <c r="F70" s="71" t="s">
        <v>322</v>
      </c>
      <c r="G70" s="68">
        <v>45809</v>
      </c>
      <c r="H70" s="51">
        <v>55000</v>
      </c>
      <c r="I70" s="51">
        <v>30000</v>
      </c>
      <c r="J70" s="52" t="s">
        <v>324</v>
      </c>
    </row>
    <row r="71" spans="1:10">
      <c r="A71" s="11">
        <v>70</v>
      </c>
      <c r="B71" s="67">
        <v>170</v>
      </c>
      <c r="C71" s="51" t="s">
        <v>205</v>
      </c>
      <c r="D71" s="51" t="s">
        <v>296</v>
      </c>
      <c r="E71" s="51" t="s">
        <v>316</v>
      </c>
      <c r="F71" s="71" t="s">
        <v>321</v>
      </c>
      <c r="G71" s="68">
        <v>45809</v>
      </c>
      <c r="H71" s="51">
        <v>75000</v>
      </c>
      <c r="I71" s="51">
        <v>40000</v>
      </c>
      <c r="J71" s="52" t="s">
        <v>323</v>
      </c>
    </row>
    <row r="72" spans="1:10">
      <c r="A72" s="11">
        <v>71</v>
      </c>
      <c r="B72" s="67">
        <v>171</v>
      </c>
      <c r="C72" s="51" t="s">
        <v>204</v>
      </c>
      <c r="D72" s="51" t="s">
        <v>296</v>
      </c>
      <c r="E72" s="51" t="s">
        <v>316</v>
      </c>
      <c r="F72" s="71" t="s">
        <v>322</v>
      </c>
      <c r="G72" s="68">
        <v>45809</v>
      </c>
      <c r="H72" s="51">
        <v>55000</v>
      </c>
      <c r="I72" s="51">
        <v>25000</v>
      </c>
      <c r="J72" s="52" t="s">
        <v>327</v>
      </c>
    </row>
    <row r="73" spans="1:10">
      <c r="A73" s="11">
        <v>72</v>
      </c>
      <c r="B73" s="67">
        <v>172</v>
      </c>
      <c r="C73" s="51" t="s">
        <v>206</v>
      </c>
      <c r="D73" s="51" t="s">
        <v>297</v>
      </c>
      <c r="E73" s="51" t="s">
        <v>316</v>
      </c>
      <c r="F73" s="71" t="s">
        <v>322</v>
      </c>
      <c r="G73" s="68">
        <v>45809</v>
      </c>
      <c r="H73" s="51">
        <v>55000</v>
      </c>
      <c r="I73" s="51">
        <v>35000</v>
      </c>
      <c r="J73" s="52" t="s">
        <v>327</v>
      </c>
    </row>
    <row r="74" spans="1:10">
      <c r="A74" s="11">
        <v>73</v>
      </c>
      <c r="B74" s="67">
        <v>173</v>
      </c>
      <c r="C74" s="51" t="s">
        <v>207</v>
      </c>
      <c r="D74" s="51" t="s">
        <v>298</v>
      </c>
      <c r="E74" s="51" t="s">
        <v>316</v>
      </c>
      <c r="F74" s="71" t="s">
        <v>322</v>
      </c>
      <c r="G74" s="68">
        <v>45809</v>
      </c>
      <c r="H74" s="51">
        <v>55000</v>
      </c>
      <c r="I74" s="51">
        <v>50000</v>
      </c>
      <c r="J74" s="52" t="s">
        <v>325</v>
      </c>
    </row>
    <row r="75" spans="1:10">
      <c r="A75" s="11">
        <v>74</v>
      </c>
      <c r="B75" s="67">
        <v>174</v>
      </c>
      <c r="C75" s="51" t="s">
        <v>208</v>
      </c>
      <c r="D75" s="51" t="s">
        <v>162</v>
      </c>
      <c r="E75" s="51" t="s">
        <v>316</v>
      </c>
      <c r="F75" s="71" t="s">
        <v>321</v>
      </c>
      <c r="G75" s="68">
        <v>45809</v>
      </c>
      <c r="H75" s="51">
        <v>75000</v>
      </c>
      <c r="I75" s="51">
        <v>45000</v>
      </c>
      <c r="J75" s="52" t="s">
        <v>325</v>
      </c>
    </row>
    <row r="76" spans="1:10">
      <c r="A76" s="11">
        <v>75</v>
      </c>
      <c r="B76" s="67">
        <v>175</v>
      </c>
      <c r="C76" s="51" t="s">
        <v>209</v>
      </c>
      <c r="D76" s="51" t="s">
        <v>248</v>
      </c>
      <c r="E76" s="51" t="s">
        <v>316</v>
      </c>
      <c r="F76" s="71" t="s">
        <v>319</v>
      </c>
      <c r="G76" s="68">
        <v>45809</v>
      </c>
      <c r="H76" s="51">
        <v>42000</v>
      </c>
      <c r="I76" s="51">
        <v>40000</v>
      </c>
      <c r="J76" s="52" t="s">
        <v>323</v>
      </c>
    </row>
    <row r="77" spans="1:10">
      <c r="A77" s="11">
        <v>76</v>
      </c>
      <c r="B77" s="67">
        <v>176</v>
      </c>
      <c r="C77" s="51" t="s">
        <v>210</v>
      </c>
      <c r="D77" s="51" t="s">
        <v>299</v>
      </c>
      <c r="E77" s="51" t="s">
        <v>316</v>
      </c>
      <c r="F77" s="71" t="s">
        <v>321</v>
      </c>
      <c r="G77" s="68">
        <v>45809</v>
      </c>
      <c r="H77" s="51">
        <v>75000</v>
      </c>
      <c r="I77" s="51">
        <v>70000</v>
      </c>
      <c r="J77" s="52" t="s">
        <v>324</v>
      </c>
    </row>
    <row r="78" spans="1:10">
      <c r="A78" s="11">
        <v>77</v>
      </c>
      <c r="B78" s="67">
        <v>177</v>
      </c>
      <c r="C78" s="51" t="s">
        <v>211</v>
      </c>
      <c r="D78" s="51" t="s">
        <v>300</v>
      </c>
      <c r="E78" s="51" t="s">
        <v>316</v>
      </c>
      <c r="F78" s="71" t="s">
        <v>320</v>
      </c>
      <c r="G78" s="68">
        <v>45809</v>
      </c>
      <c r="H78" s="51">
        <v>80000</v>
      </c>
      <c r="I78" s="51">
        <v>80000</v>
      </c>
      <c r="J78" s="52" t="s">
        <v>323</v>
      </c>
    </row>
    <row r="79" spans="1:10">
      <c r="A79" s="11">
        <v>78</v>
      </c>
      <c r="B79" s="67">
        <v>178</v>
      </c>
      <c r="C79" s="51" t="s">
        <v>212</v>
      </c>
      <c r="D79" s="51" t="s">
        <v>300</v>
      </c>
      <c r="E79" s="51" t="s">
        <v>317</v>
      </c>
      <c r="F79" s="71" t="s">
        <v>322</v>
      </c>
      <c r="G79" s="68">
        <v>45809</v>
      </c>
      <c r="H79" s="51">
        <v>55000</v>
      </c>
      <c r="I79" s="51">
        <v>50000</v>
      </c>
      <c r="J79" s="52" t="s">
        <v>325</v>
      </c>
    </row>
    <row r="80" spans="1:10">
      <c r="A80" s="11">
        <v>79</v>
      </c>
      <c r="B80" s="67">
        <v>179</v>
      </c>
      <c r="C80" s="51" t="s">
        <v>213</v>
      </c>
      <c r="D80" s="51" t="s">
        <v>301</v>
      </c>
      <c r="E80" s="51" t="s">
        <v>316</v>
      </c>
      <c r="F80" s="71" t="s">
        <v>319</v>
      </c>
      <c r="G80" s="68">
        <v>45809</v>
      </c>
      <c r="H80" s="51">
        <v>42000</v>
      </c>
      <c r="I80" s="51">
        <v>42000</v>
      </c>
      <c r="J80" s="52" t="s">
        <v>327</v>
      </c>
    </row>
    <row r="81" spans="1:10">
      <c r="A81" s="11">
        <v>80</v>
      </c>
      <c r="B81" s="67">
        <v>180</v>
      </c>
      <c r="C81" s="51" t="s">
        <v>214</v>
      </c>
      <c r="D81" s="51" t="s">
        <v>243</v>
      </c>
      <c r="E81" s="51" t="s">
        <v>316</v>
      </c>
      <c r="F81" s="71" t="s">
        <v>322</v>
      </c>
      <c r="G81" s="68">
        <v>45809</v>
      </c>
      <c r="H81" s="51">
        <v>55000</v>
      </c>
      <c r="I81" s="51">
        <v>55000</v>
      </c>
      <c r="J81" s="52" t="s">
        <v>327</v>
      </c>
    </row>
    <row r="82" spans="1:10">
      <c r="A82" s="11">
        <v>81</v>
      </c>
      <c r="B82" s="67">
        <v>181</v>
      </c>
      <c r="C82" s="51" t="s">
        <v>215</v>
      </c>
      <c r="D82" s="51" t="s">
        <v>160</v>
      </c>
      <c r="E82" s="51" t="s">
        <v>316</v>
      </c>
      <c r="F82" s="71" t="s">
        <v>322</v>
      </c>
      <c r="G82" s="68">
        <v>45809</v>
      </c>
      <c r="H82" s="51">
        <v>55000</v>
      </c>
      <c r="I82" s="51">
        <v>55000</v>
      </c>
      <c r="J82" s="52" t="s">
        <v>325</v>
      </c>
    </row>
    <row r="83" spans="1:10">
      <c r="A83" s="11">
        <v>82</v>
      </c>
      <c r="B83" s="67">
        <v>182</v>
      </c>
      <c r="C83" s="51" t="s">
        <v>216</v>
      </c>
      <c r="D83" s="51" t="s">
        <v>302</v>
      </c>
      <c r="E83" s="51" t="s">
        <v>317</v>
      </c>
      <c r="F83" s="71" t="s">
        <v>319</v>
      </c>
      <c r="G83" s="68">
        <v>45809</v>
      </c>
      <c r="H83" s="51">
        <v>42000</v>
      </c>
      <c r="I83" s="51">
        <v>25000</v>
      </c>
      <c r="J83" s="52" t="s">
        <v>325</v>
      </c>
    </row>
    <row r="84" spans="1:10">
      <c r="A84" s="11">
        <v>83</v>
      </c>
      <c r="B84" s="67">
        <v>183</v>
      </c>
      <c r="C84" s="51" t="s">
        <v>217</v>
      </c>
      <c r="D84" s="51" t="s">
        <v>303</v>
      </c>
      <c r="E84" s="51" t="s">
        <v>316</v>
      </c>
      <c r="F84" s="71" t="s">
        <v>322</v>
      </c>
      <c r="G84" s="68">
        <v>45809</v>
      </c>
      <c r="H84" s="51">
        <v>55000</v>
      </c>
      <c r="I84" s="51">
        <v>15000</v>
      </c>
      <c r="J84" s="52" t="s">
        <v>323</v>
      </c>
    </row>
    <row r="85" spans="1:10">
      <c r="A85" s="11">
        <v>84</v>
      </c>
      <c r="B85" s="67">
        <v>184</v>
      </c>
      <c r="C85" s="51" t="s">
        <v>218</v>
      </c>
      <c r="D85" s="51" t="s">
        <v>304</v>
      </c>
      <c r="E85" s="51" t="s">
        <v>317</v>
      </c>
      <c r="F85" s="71" t="s">
        <v>322</v>
      </c>
      <c r="G85" s="68">
        <v>45809</v>
      </c>
      <c r="H85" s="51">
        <v>55000</v>
      </c>
      <c r="I85" s="51">
        <v>40000</v>
      </c>
      <c r="J85" s="52" t="s">
        <v>323</v>
      </c>
    </row>
    <row r="86" spans="1:10">
      <c r="A86" s="11">
        <v>85</v>
      </c>
      <c r="B86" s="67">
        <v>185</v>
      </c>
      <c r="C86" s="51" t="s">
        <v>219</v>
      </c>
      <c r="D86" s="51" t="s">
        <v>304</v>
      </c>
      <c r="E86" s="51" t="s">
        <v>317</v>
      </c>
      <c r="F86" s="71" t="s">
        <v>319</v>
      </c>
      <c r="G86" s="68">
        <v>45809</v>
      </c>
      <c r="H86" s="51">
        <v>42000</v>
      </c>
      <c r="I86" s="51">
        <v>20000</v>
      </c>
      <c r="J86" s="52" t="s">
        <v>323</v>
      </c>
    </row>
    <row r="87" spans="1:10">
      <c r="A87" s="11">
        <v>86</v>
      </c>
      <c r="B87" s="67">
        <v>186</v>
      </c>
      <c r="C87" s="51" t="s">
        <v>220</v>
      </c>
      <c r="D87" s="51" t="s">
        <v>305</v>
      </c>
      <c r="E87" s="51" t="s">
        <v>316</v>
      </c>
      <c r="F87" s="71" t="s">
        <v>322</v>
      </c>
      <c r="G87" s="68">
        <v>45809</v>
      </c>
      <c r="H87" s="51">
        <v>55000</v>
      </c>
      <c r="I87" s="51">
        <v>30000</v>
      </c>
      <c r="J87" s="52" t="s">
        <v>324</v>
      </c>
    </row>
    <row r="88" spans="1:10">
      <c r="A88" s="11">
        <v>87</v>
      </c>
      <c r="B88" s="67">
        <v>187</v>
      </c>
      <c r="C88" s="51" t="s">
        <v>318</v>
      </c>
      <c r="D88" s="51" t="s">
        <v>306</v>
      </c>
      <c r="E88" s="51" t="s">
        <v>316</v>
      </c>
      <c r="F88" s="71" t="s">
        <v>319</v>
      </c>
      <c r="G88" s="68">
        <v>45809</v>
      </c>
      <c r="H88" s="51">
        <v>42000</v>
      </c>
      <c r="I88" s="51">
        <v>42000</v>
      </c>
      <c r="J88" s="52" t="s">
        <v>324</v>
      </c>
    </row>
    <row r="89" spans="1:10">
      <c r="A89" s="11">
        <v>88</v>
      </c>
      <c r="B89" s="67">
        <v>188</v>
      </c>
      <c r="C89" s="51" t="s">
        <v>221</v>
      </c>
      <c r="D89" s="51" t="s">
        <v>307</v>
      </c>
      <c r="E89" s="51" t="s">
        <v>316</v>
      </c>
      <c r="F89" s="71" t="s">
        <v>322</v>
      </c>
      <c r="G89" s="68">
        <v>45809</v>
      </c>
      <c r="H89" s="51">
        <v>55000</v>
      </c>
      <c r="I89" s="51">
        <v>55000</v>
      </c>
      <c r="J89" s="52" t="s">
        <v>323</v>
      </c>
    </row>
    <row r="90" spans="1:10">
      <c r="A90" s="11">
        <v>89</v>
      </c>
      <c r="B90" s="67">
        <v>189</v>
      </c>
      <c r="C90" s="51" t="s">
        <v>222</v>
      </c>
      <c r="D90" s="51" t="s">
        <v>168</v>
      </c>
      <c r="E90" s="51" t="s">
        <v>316</v>
      </c>
      <c r="F90" s="71" t="s">
        <v>322</v>
      </c>
      <c r="G90" s="68">
        <v>45809</v>
      </c>
      <c r="H90" s="51">
        <v>55000</v>
      </c>
      <c r="I90" s="51">
        <v>20500</v>
      </c>
      <c r="J90" s="52" t="s">
        <v>324</v>
      </c>
    </row>
    <row r="91" spans="1:10">
      <c r="A91" s="11">
        <v>90</v>
      </c>
      <c r="B91" s="67">
        <v>190</v>
      </c>
      <c r="C91" s="51" t="s">
        <v>223</v>
      </c>
      <c r="D91" s="51" t="s">
        <v>308</v>
      </c>
      <c r="E91" s="51" t="s">
        <v>316</v>
      </c>
      <c r="F91" s="71" t="s">
        <v>320</v>
      </c>
      <c r="G91" s="68">
        <v>45809</v>
      </c>
      <c r="H91" s="51">
        <v>80000</v>
      </c>
      <c r="I91" s="51">
        <v>80000</v>
      </c>
      <c r="J91" s="52" t="s">
        <v>323</v>
      </c>
    </row>
    <row r="92" spans="1:10">
      <c r="A92" s="11">
        <v>91</v>
      </c>
      <c r="B92" s="67">
        <v>191</v>
      </c>
      <c r="C92" s="51" t="s">
        <v>224</v>
      </c>
      <c r="D92" s="51" t="s">
        <v>242</v>
      </c>
      <c r="E92" s="51" t="s">
        <v>316</v>
      </c>
      <c r="F92" s="71" t="s">
        <v>320</v>
      </c>
      <c r="G92" s="68">
        <v>45809</v>
      </c>
      <c r="H92" s="51">
        <v>80000</v>
      </c>
      <c r="I92" s="51">
        <v>75000</v>
      </c>
      <c r="J92" s="52" t="s">
        <v>324</v>
      </c>
    </row>
    <row r="93" spans="1:10">
      <c r="A93" s="11">
        <v>92</v>
      </c>
      <c r="B93" s="67">
        <v>192</v>
      </c>
      <c r="C93" s="51" t="s">
        <v>225</v>
      </c>
      <c r="D93" s="51" t="s">
        <v>309</v>
      </c>
      <c r="E93" s="51" t="s">
        <v>316</v>
      </c>
      <c r="F93" s="71" t="s">
        <v>321</v>
      </c>
      <c r="G93" s="68">
        <v>45839</v>
      </c>
      <c r="H93" s="51">
        <v>75000</v>
      </c>
      <c r="I93" s="51">
        <v>65000</v>
      </c>
      <c r="J93" s="52" t="s">
        <v>325</v>
      </c>
    </row>
    <row r="94" spans="1:10">
      <c r="A94" s="11">
        <v>93</v>
      </c>
      <c r="B94" s="67">
        <v>193</v>
      </c>
      <c r="C94" s="51" t="s">
        <v>226</v>
      </c>
      <c r="D94" s="51" t="s">
        <v>310</v>
      </c>
      <c r="E94" s="51" t="s">
        <v>316</v>
      </c>
      <c r="F94" s="71" t="s">
        <v>321</v>
      </c>
      <c r="G94" s="68">
        <v>45839</v>
      </c>
      <c r="H94" s="51">
        <v>75000</v>
      </c>
      <c r="I94" s="51">
        <v>70000</v>
      </c>
      <c r="J94" s="52" t="s">
        <v>323</v>
      </c>
    </row>
    <row r="95" spans="1:10">
      <c r="A95" s="11">
        <v>94</v>
      </c>
      <c r="B95" s="67">
        <v>194</v>
      </c>
      <c r="C95" s="51" t="s">
        <v>227</v>
      </c>
      <c r="D95" s="51" t="s">
        <v>311</v>
      </c>
      <c r="E95" s="51" t="s">
        <v>316</v>
      </c>
      <c r="F95" s="71" t="s">
        <v>319</v>
      </c>
      <c r="G95" s="68">
        <v>45839</v>
      </c>
      <c r="H95" s="51">
        <v>42000</v>
      </c>
      <c r="I95" s="51">
        <v>40000</v>
      </c>
      <c r="J95" s="52" t="s">
        <v>325</v>
      </c>
    </row>
    <row r="96" spans="1:10">
      <c r="A96" s="11">
        <v>95</v>
      </c>
      <c r="B96" s="67">
        <v>195</v>
      </c>
      <c r="C96" s="51" t="s">
        <v>228</v>
      </c>
      <c r="D96" s="51" t="s">
        <v>312</v>
      </c>
      <c r="E96" s="51" t="s">
        <v>316</v>
      </c>
      <c r="F96" s="71" t="s">
        <v>320</v>
      </c>
      <c r="G96" s="68">
        <v>45839</v>
      </c>
      <c r="H96" s="51">
        <v>80000</v>
      </c>
      <c r="I96" s="51">
        <v>75000</v>
      </c>
      <c r="J96" s="52" t="s">
        <v>327</v>
      </c>
    </row>
    <row r="97" spans="1:10">
      <c r="A97" s="11">
        <v>96</v>
      </c>
      <c r="B97" s="67">
        <v>196</v>
      </c>
      <c r="C97" s="51" t="s">
        <v>229</v>
      </c>
      <c r="D97" s="51" t="s">
        <v>313</v>
      </c>
      <c r="E97" s="51" t="s">
        <v>316</v>
      </c>
      <c r="F97" s="71" t="s">
        <v>319</v>
      </c>
      <c r="G97" s="68">
        <v>45839</v>
      </c>
      <c r="H97" s="51">
        <v>42000</v>
      </c>
      <c r="I97" s="51">
        <v>28000</v>
      </c>
      <c r="J97" s="52" t="s">
        <v>324</v>
      </c>
    </row>
    <row r="98" spans="1:10">
      <c r="A98" s="11">
        <v>97</v>
      </c>
      <c r="B98" s="67">
        <v>197</v>
      </c>
      <c r="C98" s="51" t="s">
        <v>230</v>
      </c>
      <c r="D98" s="51" t="s">
        <v>313</v>
      </c>
      <c r="E98" s="51" t="s">
        <v>317</v>
      </c>
      <c r="F98" s="71" t="s">
        <v>322</v>
      </c>
      <c r="G98" s="68">
        <v>45839</v>
      </c>
      <c r="H98" s="51">
        <v>55000</v>
      </c>
      <c r="I98" s="51">
        <v>50000</v>
      </c>
      <c r="J98" s="52" t="s">
        <v>325</v>
      </c>
    </row>
    <row r="99" spans="1:10">
      <c r="A99" s="11">
        <v>98</v>
      </c>
      <c r="B99" s="67">
        <v>198</v>
      </c>
      <c r="C99" s="51" t="s">
        <v>231</v>
      </c>
      <c r="D99" s="51" t="s">
        <v>314</v>
      </c>
      <c r="E99" s="51" t="s">
        <v>317</v>
      </c>
      <c r="F99" s="71" t="s">
        <v>321</v>
      </c>
      <c r="G99" s="68">
        <v>45839</v>
      </c>
      <c r="H99" s="51">
        <v>75000</v>
      </c>
      <c r="I99" s="51">
        <v>75000</v>
      </c>
      <c r="J99" s="52" t="s">
        <v>323</v>
      </c>
    </row>
    <row r="100" spans="1:10">
      <c r="A100" s="11">
        <v>99</v>
      </c>
      <c r="B100" s="67">
        <v>199</v>
      </c>
      <c r="C100" s="51" t="s">
        <v>232</v>
      </c>
      <c r="D100" s="51" t="s">
        <v>137</v>
      </c>
      <c r="E100" s="51" t="s">
        <v>317</v>
      </c>
      <c r="F100" s="71" t="s">
        <v>322</v>
      </c>
      <c r="G100" s="68">
        <v>45839</v>
      </c>
      <c r="H100" s="51">
        <v>55000</v>
      </c>
      <c r="I100" s="51">
        <v>55000</v>
      </c>
      <c r="J100" s="52" t="s">
        <v>327</v>
      </c>
    </row>
    <row r="101" spans="1:10">
      <c r="A101" s="12">
        <v>100</v>
      </c>
      <c r="B101" s="69">
        <v>200</v>
      </c>
      <c r="C101" s="13" t="s">
        <v>233</v>
      </c>
      <c r="D101" s="13" t="s">
        <v>315</v>
      </c>
      <c r="E101" s="13" t="s">
        <v>316</v>
      </c>
      <c r="F101" s="72" t="s">
        <v>319</v>
      </c>
      <c r="G101" s="70">
        <v>45839</v>
      </c>
      <c r="H101" s="13">
        <v>42000</v>
      </c>
      <c r="I101" s="13">
        <v>40000</v>
      </c>
      <c r="J101" s="56" t="s">
        <v>327</v>
      </c>
    </row>
  </sheetData>
  <conditionalFormatting sqref="E2:E101">
    <cfRule type="containsText" dxfId="3" priority="3" operator="containsText" text="male">
      <formula>NOT(ISERROR(SEARCH("male",E2)))</formula>
    </cfRule>
  </conditionalFormatting>
  <conditionalFormatting sqref="E1:E101">
    <cfRule type="containsText" dxfId="1" priority="1" operator="containsText" text="female">
      <formula>NOT(ISERROR(SEARCH("female",E1)))</formula>
    </cfRule>
    <cfRule type="containsText" priority="2" operator="containsText" text="female">
      <formula>NOT(ISERROR(SEARCH("female",E1)))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sumif</vt:lpstr>
      <vt:lpstr>Sheet2</vt:lpstr>
      <vt:lpstr>invoice</vt:lpstr>
      <vt:lpstr>Sheet3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Hardic Singh</dc:creator>
  <cp:lastModifiedBy>Hardic Singh</cp:lastModifiedBy>
  <cp:lastPrinted>2025-08-21T01:51:31Z</cp:lastPrinted>
  <dcterms:created xsi:type="dcterms:W3CDTF">2025-08-14T18:54:56Z</dcterms:created>
  <dcterms:modified xsi:type="dcterms:W3CDTF">2025-09-09T12:08:50Z</dcterms:modified>
</cp:coreProperties>
</file>