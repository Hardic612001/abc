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-120" yWindow="-120" windowWidth="29040" windowHeight="16440" firstSheet="3" activeTab="3"/>
  </bookViews>
  <sheets>
    <sheet name="cashbook " sheetId="1" r:id="rId1"/>
    <sheet name="attendence" sheetId="2" r:id="rId2"/>
    <sheet name="trial balance of xyz" sheetId="3" r:id="rId3"/>
    <sheet name="customer details" sheetId="4" r:id="rId4"/>
    <sheet name="cashbook report of aarvi" sheetId="5" r:id="rId5"/>
    <sheet name="salary sheet" sheetId="7" r:id="rId6"/>
    <sheet name="khanan udhyog" sheetId="8" r:id="rId7"/>
    <sheet name="Sheet1" sheetId="9" r:id="rId8"/>
    <sheet name="Sheet2" sheetId="10" r:id="rId9"/>
    <sheet name="Sheet3" sheetId="11" r:id="rId10"/>
    <sheet name="Sheet4" sheetId="12" r:id="rId11"/>
    <sheet name="Sheet5" sheetId="13" r:id="rId12"/>
  </sheets>
  <definedNames>
    <definedName name="_xlnm._FilterDatabase" localSheetId="6" hidden="1">'khanan udhyog'!$A$3:$J$43</definedName>
    <definedName name="_xlnm._FilterDatabase" localSheetId="10" hidden="1">Sheet4!$A$2:$I$22</definedName>
    <definedName name="HRA">'salary sheet'!$F$4:$F$16</definedName>
    <definedName name="NET_PAYABLE">'salary sheet'!$R$3:$R$16</definedName>
    <definedName name="SPECIAL">'salary sheet'!$I$4:$I$16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" i="4" l="1"/>
  <c r="AE7" i="4"/>
  <c r="AE37" i="4"/>
  <c r="Z7" i="4"/>
  <c r="Z8" i="4"/>
  <c r="AB7" i="4" l="1"/>
  <c r="V7" i="4"/>
  <c r="K9" i="11" l="1"/>
  <c r="K7" i="11"/>
  <c r="K8" i="11"/>
  <c r="AO7" i="4"/>
  <c r="AP7" i="4"/>
  <c r="AQ7" i="4"/>
  <c r="AR7" i="4"/>
  <c r="AO8" i="4"/>
  <c r="AP8" i="4"/>
  <c r="AQ8" i="4"/>
  <c r="AR8" i="4"/>
  <c r="AO9" i="4"/>
  <c r="AP9" i="4"/>
  <c r="AQ9" i="4"/>
  <c r="AR9" i="4"/>
  <c r="AO10" i="4"/>
  <c r="AP10" i="4"/>
  <c r="AQ10" i="4"/>
  <c r="AR10" i="4"/>
  <c r="AO11" i="4"/>
  <c r="AP11" i="4"/>
  <c r="AQ11" i="4"/>
  <c r="AR11" i="4"/>
  <c r="AO12" i="4"/>
  <c r="AP12" i="4"/>
  <c r="AQ12" i="4"/>
  <c r="AR12" i="4"/>
  <c r="AO13" i="4"/>
  <c r="AP13" i="4"/>
  <c r="AQ13" i="4"/>
  <c r="AR13" i="4"/>
  <c r="AO14" i="4"/>
  <c r="AP14" i="4"/>
  <c r="AQ14" i="4"/>
  <c r="AR14" i="4"/>
  <c r="AO15" i="4"/>
  <c r="AP15" i="4"/>
  <c r="AQ15" i="4"/>
  <c r="AR15" i="4"/>
  <c r="AO16" i="4"/>
  <c r="AP16" i="4"/>
  <c r="AQ16" i="4"/>
  <c r="AR16" i="4"/>
  <c r="AO17" i="4"/>
  <c r="AP17" i="4"/>
  <c r="AQ17" i="4"/>
  <c r="AR17" i="4"/>
  <c r="AO18" i="4"/>
  <c r="AP18" i="4"/>
  <c r="AQ18" i="4"/>
  <c r="AR18" i="4"/>
  <c r="AO19" i="4"/>
  <c r="AP19" i="4"/>
  <c r="AQ19" i="4"/>
  <c r="AR19" i="4"/>
  <c r="AO20" i="4"/>
  <c r="AP20" i="4"/>
  <c r="AQ20" i="4"/>
  <c r="AR20" i="4"/>
  <c r="AO21" i="4"/>
  <c r="AP21" i="4"/>
  <c r="AQ21" i="4"/>
  <c r="AR21" i="4"/>
  <c r="AO22" i="4"/>
  <c r="AP22" i="4"/>
  <c r="AQ22" i="4"/>
  <c r="AR22" i="4"/>
  <c r="AO23" i="4"/>
  <c r="AP23" i="4"/>
  <c r="AQ23" i="4"/>
  <c r="AR23" i="4"/>
  <c r="AO24" i="4"/>
  <c r="AP24" i="4"/>
  <c r="AQ24" i="4"/>
  <c r="AR24" i="4"/>
  <c r="AO25" i="4"/>
  <c r="AP25" i="4"/>
  <c r="AQ25" i="4"/>
  <c r="AR25" i="4"/>
  <c r="AO26" i="4"/>
  <c r="AP26" i="4"/>
  <c r="AQ26" i="4"/>
  <c r="AR26" i="4"/>
  <c r="AO27" i="4"/>
  <c r="AP27" i="4"/>
  <c r="AQ27" i="4"/>
  <c r="AR27" i="4"/>
  <c r="AO28" i="4"/>
  <c r="AP28" i="4"/>
  <c r="AQ28" i="4"/>
  <c r="AR28" i="4"/>
  <c r="AO29" i="4"/>
  <c r="AP29" i="4"/>
  <c r="AQ29" i="4"/>
  <c r="AR29" i="4"/>
  <c r="AO30" i="4"/>
  <c r="AP30" i="4"/>
  <c r="AQ30" i="4"/>
  <c r="AR30" i="4"/>
  <c r="AO31" i="4"/>
  <c r="AP31" i="4"/>
  <c r="AQ31" i="4"/>
  <c r="AR31" i="4"/>
  <c r="AO32" i="4"/>
  <c r="AP32" i="4"/>
  <c r="AQ32" i="4"/>
  <c r="AR32" i="4"/>
  <c r="AO33" i="4"/>
  <c r="AP33" i="4"/>
  <c r="AQ33" i="4"/>
  <c r="AR33" i="4"/>
  <c r="AO34" i="4"/>
  <c r="AP34" i="4"/>
  <c r="AQ34" i="4"/>
  <c r="AR34" i="4"/>
  <c r="AO35" i="4"/>
  <c r="AP35" i="4"/>
  <c r="AQ35" i="4"/>
  <c r="AR35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7" i="4"/>
  <c r="AJ7" i="4"/>
  <c r="AI7" i="4"/>
  <c r="AH7" i="4"/>
  <c r="AD7" i="4"/>
  <c r="AC7" i="4"/>
  <c r="AA7" i="4"/>
  <c r="Z9" i="4"/>
  <c r="Z10" i="4"/>
  <c r="Z11" i="4"/>
  <c r="Z12" i="4"/>
  <c r="Z13" i="4"/>
  <c r="Z14" i="4"/>
  <c r="Z21" i="4"/>
  <c r="Z23" i="4"/>
  <c r="Z25" i="4"/>
  <c r="Z26" i="4"/>
  <c r="Z28" i="4"/>
  <c r="Z30" i="4"/>
  <c r="Z31" i="4"/>
  <c r="Z32" i="4"/>
  <c r="Z33" i="4"/>
  <c r="Z35" i="4"/>
  <c r="Z36" i="4"/>
  <c r="Z37" i="4"/>
  <c r="Y8" i="4"/>
  <c r="Y9" i="4"/>
  <c r="Y10" i="4"/>
  <c r="Y11" i="4"/>
  <c r="Y12" i="4"/>
  <c r="Y13" i="4"/>
  <c r="Y14" i="4"/>
  <c r="Y16" i="4"/>
  <c r="Y19" i="4"/>
  <c r="Y21" i="4"/>
  <c r="Y22" i="4"/>
  <c r="Y23" i="4"/>
  <c r="Y24" i="4"/>
  <c r="Y25" i="4"/>
  <c r="Y26" i="4"/>
  <c r="Y28" i="4"/>
  <c r="Y30" i="4"/>
  <c r="Y31" i="4"/>
  <c r="Y32" i="4"/>
  <c r="Y33" i="4"/>
  <c r="Y35" i="4"/>
  <c r="Y36" i="4"/>
  <c r="X8" i="4"/>
  <c r="X9" i="4"/>
  <c r="X10" i="4"/>
  <c r="X11" i="4"/>
  <c r="X12" i="4"/>
  <c r="X13" i="4"/>
  <c r="X14" i="4"/>
  <c r="X19" i="4"/>
  <c r="X20" i="4"/>
  <c r="X21" i="4"/>
  <c r="X22" i="4"/>
  <c r="X23" i="4"/>
  <c r="X25" i="4"/>
  <c r="X26" i="4"/>
  <c r="X28" i="4"/>
  <c r="X30" i="4"/>
  <c r="X31" i="4"/>
  <c r="X32" i="4"/>
  <c r="X33" i="4"/>
  <c r="X35" i="4"/>
  <c r="X36" i="4"/>
  <c r="X7" i="4"/>
  <c r="W9" i="4"/>
  <c r="W10" i="4"/>
  <c r="W11" i="4"/>
  <c r="W12" i="4"/>
  <c r="W13" i="4"/>
  <c r="W14" i="4"/>
  <c r="W15" i="4"/>
  <c r="W17" i="4"/>
  <c r="W20" i="4"/>
  <c r="Z20" i="4" s="1"/>
  <c r="W21" i="4"/>
  <c r="W23" i="4"/>
  <c r="W24" i="4"/>
  <c r="Z24" i="4" s="1"/>
  <c r="W25" i="4"/>
  <c r="W26" i="4"/>
  <c r="W27" i="4"/>
  <c r="Z27" i="4" s="1"/>
  <c r="W28" i="4"/>
  <c r="W29" i="4"/>
  <c r="W30" i="4"/>
  <c r="W31" i="4"/>
  <c r="W32" i="4"/>
  <c r="W33" i="4"/>
  <c r="W35" i="4"/>
  <c r="W36" i="4"/>
  <c r="W8" i="4"/>
  <c r="W7" i="4"/>
  <c r="V8" i="4"/>
  <c r="V9" i="4"/>
  <c r="V10" i="4"/>
  <c r="V11" i="4"/>
  <c r="V12" i="4"/>
  <c r="V13" i="4"/>
  <c r="V14" i="4"/>
  <c r="V15" i="4"/>
  <c r="X15" i="4" s="1"/>
  <c r="V16" i="4"/>
  <c r="W16" i="4" s="1"/>
  <c r="V17" i="4"/>
  <c r="X17" i="4" s="1"/>
  <c r="V18" i="4"/>
  <c r="X18" i="4" s="1"/>
  <c r="V19" i="4"/>
  <c r="W19" i="4" s="1"/>
  <c r="V20" i="4"/>
  <c r="V21" i="4"/>
  <c r="V22" i="4"/>
  <c r="W22" i="4" s="1"/>
  <c r="V23" i="4"/>
  <c r="V24" i="4"/>
  <c r="X24" i="4" s="1"/>
  <c r="V25" i="4"/>
  <c r="V26" i="4"/>
  <c r="V27" i="4"/>
  <c r="X27" i="4" s="1"/>
  <c r="V28" i="4"/>
  <c r="V29" i="4"/>
  <c r="X29" i="4" s="1"/>
  <c r="V30" i="4"/>
  <c r="V31" i="4"/>
  <c r="V32" i="4"/>
  <c r="V33" i="4"/>
  <c r="V34" i="4"/>
  <c r="W34" i="4" s="1"/>
  <c r="V35" i="4"/>
  <c r="V36" i="4"/>
  <c r="V37" i="4"/>
  <c r="U8" i="4"/>
  <c r="U9" i="4"/>
  <c r="U10" i="4"/>
  <c r="U11" i="4"/>
  <c r="U12" i="4"/>
  <c r="U13" i="4"/>
  <c r="U14" i="4"/>
  <c r="U15" i="4"/>
  <c r="Y15" i="4" s="1"/>
  <c r="U16" i="4"/>
  <c r="U17" i="4"/>
  <c r="Y17" i="4" s="1"/>
  <c r="U18" i="4"/>
  <c r="Y18" i="4" s="1"/>
  <c r="U19" i="4"/>
  <c r="U20" i="4"/>
  <c r="Y20" i="4" s="1"/>
  <c r="U21" i="4"/>
  <c r="U22" i="4"/>
  <c r="U23" i="4"/>
  <c r="U24" i="4"/>
  <c r="U25" i="4"/>
  <c r="U26" i="4"/>
  <c r="U27" i="4"/>
  <c r="Y27" i="4" s="1"/>
  <c r="U28" i="4"/>
  <c r="U29" i="4"/>
  <c r="Y29" i="4" s="1"/>
  <c r="U30" i="4"/>
  <c r="U31" i="4"/>
  <c r="U32" i="4"/>
  <c r="U33" i="4"/>
  <c r="U34" i="4"/>
  <c r="Y34" i="4" s="1"/>
  <c r="U35" i="4"/>
  <c r="U36" i="4"/>
  <c r="U37" i="4"/>
  <c r="U7" i="4"/>
  <c r="Y7" i="4" s="1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7" i="4"/>
  <c r="L44" i="4"/>
  <c r="L43" i="4"/>
  <c r="L42" i="4"/>
  <c r="L41" i="4"/>
  <c r="O41" i="4"/>
  <c r="R7" i="4"/>
  <c r="Q7" i="4"/>
  <c r="P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7" i="4"/>
  <c r="I11" i="12"/>
  <c r="I18" i="12"/>
  <c r="AL7" i="4" l="1"/>
  <c r="AK7" i="4"/>
  <c r="AG7" i="4"/>
  <c r="AM7" i="4"/>
  <c r="X16" i="4"/>
  <c r="Z16" i="4" s="1"/>
  <c r="Z29" i="4"/>
  <c r="W18" i="4"/>
  <c r="Z18" i="4" s="1"/>
  <c r="X34" i="4"/>
  <c r="Z34" i="4" s="1"/>
  <c r="Z22" i="4"/>
  <c r="Z19" i="4"/>
  <c r="Z17" i="4"/>
  <c r="Z15" i="4"/>
  <c r="I3" i="12"/>
  <c r="G22" i="12"/>
  <c r="I4" i="12"/>
  <c r="I5" i="12"/>
  <c r="I6" i="12"/>
  <c r="I7" i="12"/>
  <c r="I8" i="12"/>
  <c r="I9" i="12"/>
  <c r="I10" i="12"/>
  <c r="I12" i="12"/>
  <c r="I13" i="12"/>
  <c r="I14" i="12"/>
  <c r="I15" i="12"/>
  <c r="I16" i="12"/>
  <c r="I17" i="12"/>
  <c r="I19" i="12"/>
  <c r="I20" i="12"/>
  <c r="I21" i="12"/>
  <c r="I22" i="12" l="1"/>
  <c r="I8" i="11" l="1"/>
  <c r="J8" i="11" s="1"/>
  <c r="I9" i="11"/>
  <c r="J9" i="11" s="1"/>
  <c r="I10" i="11"/>
  <c r="J10" i="11" s="1"/>
  <c r="K10" i="11" s="1"/>
  <c r="I11" i="11"/>
  <c r="J11" i="11" s="1"/>
  <c r="K11" i="11" s="1"/>
  <c r="I12" i="11"/>
  <c r="J12" i="11" s="1"/>
  <c r="K12" i="11" s="1"/>
  <c r="I13" i="11"/>
  <c r="J13" i="11" s="1"/>
  <c r="K13" i="11" s="1"/>
  <c r="I14" i="11"/>
  <c r="J14" i="11" s="1"/>
  <c r="K14" i="11" s="1"/>
  <c r="I15" i="11"/>
  <c r="J15" i="11" s="1"/>
  <c r="K15" i="11" s="1"/>
  <c r="I16" i="11"/>
  <c r="J16" i="11" s="1"/>
  <c r="K16" i="11" s="1"/>
  <c r="I17" i="11"/>
  <c r="J17" i="11" s="1"/>
  <c r="K17" i="11" s="1"/>
  <c r="I18" i="11"/>
  <c r="J18" i="11" s="1"/>
  <c r="K18" i="11" s="1"/>
  <c r="I19" i="11"/>
  <c r="J19" i="11" s="1"/>
  <c r="K19" i="11" s="1"/>
  <c r="I20" i="11"/>
  <c r="J20" i="11" s="1"/>
  <c r="K20" i="11" s="1"/>
  <c r="I21" i="11"/>
  <c r="J21" i="11" s="1"/>
  <c r="K21" i="11" s="1"/>
  <c r="I22" i="11"/>
  <c r="J22" i="11" s="1"/>
  <c r="K22" i="11" s="1"/>
  <c r="I23" i="11"/>
  <c r="J23" i="11" s="1"/>
  <c r="K23" i="11" s="1"/>
  <c r="I24" i="11"/>
  <c r="J24" i="11" s="1"/>
  <c r="K24" i="11" s="1"/>
  <c r="I25" i="11"/>
  <c r="J25" i="11" s="1"/>
  <c r="K25" i="11" s="1"/>
  <c r="I26" i="11"/>
  <c r="J26" i="11" s="1"/>
  <c r="K26" i="11" s="1"/>
  <c r="I27" i="11"/>
  <c r="J27" i="11" s="1"/>
  <c r="K27" i="11" s="1"/>
  <c r="I28" i="11"/>
  <c r="J28" i="11" s="1"/>
  <c r="K28" i="11" s="1"/>
  <c r="I29" i="11"/>
  <c r="J29" i="11" s="1"/>
  <c r="K29" i="11" s="1"/>
  <c r="I30" i="11"/>
  <c r="J30" i="11" s="1"/>
  <c r="K30" i="11" s="1"/>
  <c r="I31" i="11"/>
  <c r="J31" i="11" s="1"/>
  <c r="K31" i="11" s="1"/>
  <c r="I7" i="11"/>
  <c r="J7" i="11" s="1"/>
  <c r="R17" i="7" l="1"/>
  <c r="I17" i="7"/>
  <c r="F5" i="10" l="1"/>
  <c r="G5" i="10" s="1"/>
  <c r="H5" i="10" s="1"/>
  <c r="F6" i="10"/>
  <c r="F7" i="10"/>
  <c r="F8" i="10"/>
  <c r="G8" i="10" s="1"/>
  <c r="H8" i="10" s="1"/>
  <c r="F9" i="10"/>
  <c r="F10" i="10"/>
  <c r="G10" i="10" s="1"/>
  <c r="H10" i="10" s="1"/>
  <c r="F11" i="10"/>
  <c r="G11" i="10" s="1"/>
  <c r="H11" i="10" s="1"/>
  <c r="F12" i="10"/>
  <c r="G12" i="10" s="1"/>
  <c r="H12" i="10" s="1"/>
  <c r="F13" i="10"/>
  <c r="G13" i="10" s="1"/>
  <c r="H13" i="10" s="1"/>
  <c r="F14" i="10"/>
  <c r="G14" i="10" s="1"/>
  <c r="H14" i="10" s="1"/>
  <c r="F15" i="10"/>
  <c r="G15" i="10" s="1"/>
  <c r="H15" i="10" s="1"/>
  <c r="F16" i="10"/>
  <c r="F17" i="10"/>
  <c r="F18" i="10"/>
  <c r="F19" i="10"/>
  <c r="F20" i="10"/>
  <c r="G20" i="10" s="1"/>
  <c r="H20" i="10" s="1"/>
  <c r="F21" i="10"/>
  <c r="F22" i="10"/>
  <c r="G22" i="10" s="1"/>
  <c r="H22" i="10" s="1"/>
  <c r="F23" i="10"/>
  <c r="G23" i="10" s="1"/>
  <c r="H23" i="10" s="1"/>
  <c r="F4" i="10"/>
  <c r="G4" i="10" s="1"/>
  <c r="H4" i="10" s="1"/>
  <c r="G6" i="10"/>
  <c r="H6" i="10" s="1"/>
  <c r="G7" i="10"/>
  <c r="H7" i="10" s="1"/>
  <c r="G9" i="10"/>
  <c r="H9" i="10" s="1"/>
  <c r="G16" i="10"/>
  <c r="H16" i="10" s="1"/>
  <c r="G17" i="10"/>
  <c r="H17" i="10" s="1"/>
  <c r="G18" i="10"/>
  <c r="H18" i="10" s="1"/>
  <c r="G19" i="10"/>
  <c r="H19" i="10" s="1"/>
  <c r="G21" i="10"/>
  <c r="H21" i="10" s="1"/>
  <c r="AD6" i="2" l="1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5" i="2"/>
  <c r="E4" i="9"/>
  <c r="E5" i="9"/>
  <c r="E6" i="9"/>
  <c r="E7" i="9"/>
  <c r="E8" i="9"/>
  <c r="E9" i="9"/>
  <c r="E10" i="9"/>
  <c r="E3" i="9"/>
  <c r="H29" i="8" l="1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2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5" i="8"/>
  <c r="J5" i="8" s="1"/>
  <c r="J6" i="8" l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 l="1"/>
  <c r="J43" i="8"/>
  <c r="K21" i="3"/>
  <c r="I21" i="3"/>
  <c r="F10" i="1" l="1"/>
  <c r="C10" i="1"/>
</calcChain>
</file>

<file path=xl/sharedStrings.xml><?xml version="1.0" encoding="utf-8"?>
<sst xmlns="http://schemas.openxmlformats.org/spreadsheetml/2006/main" count="1090" uniqueCount="402">
  <si>
    <r>
      <t xml:space="preserve">             </t>
    </r>
    <r>
      <rPr>
        <b/>
        <i/>
        <sz val="11"/>
        <color theme="1"/>
        <rFont val="Calibri"/>
        <family val="2"/>
        <scheme val="minor"/>
      </rPr>
      <t>CASH INWORD</t>
    </r>
  </si>
  <si>
    <r>
      <t xml:space="preserve">                </t>
    </r>
    <r>
      <rPr>
        <b/>
        <i/>
        <sz val="11"/>
        <color theme="1"/>
        <rFont val="Calibri"/>
        <family val="2"/>
        <scheme val="minor"/>
      </rPr>
      <t>CASHOUTWORD</t>
    </r>
  </si>
  <si>
    <t>DATE</t>
  </si>
  <si>
    <t>PARTICULAR</t>
  </si>
  <si>
    <t>AMOUNT</t>
  </si>
  <si>
    <t xml:space="preserve"> Salaries</t>
  </si>
  <si>
    <t xml:space="preserve"> discount received</t>
  </si>
  <si>
    <t xml:space="preserve"> cash sales</t>
  </si>
  <si>
    <t xml:space="preserve"> balnce b/d</t>
  </si>
  <si>
    <t>cash purchase</t>
  </si>
  <si>
    <t>Office furnitur</t>
  </si>
  <si>
    <t>sales</t>
  </si>
  <si>
    <t>stationary</t>
  </si>
  <si>
    <t>Discount allowed</t>
  </si>
  <si>
    <t>S.co.</t>
  </si>
  <si>
    <t>total</t>
  </si>
  <si>
    <t>Attendence sheet of M.J.R.P. Public School</t>
  </si>
  <si>
    <t>Class-9</t>
  </si>
  <si>
    <t xml:space="preserve">Class Teacher- Suchita Pathak </t>
  </si>
  <si>
    <t>Name Of Students</t>
  </si>
  <si>
    <t>Kajal Yadav</t>
  </si>
  <si>
    <t>Md.Zafar</t>
  </si>
  <si>
    <t xml:space="preserve">Rohit Gupta </t>
  </si>
  <si>
    <t>Hardic Singh</t>
  </si>
  <si>
    <t xml:space="preserve">Ashish Chauhan </t>
  </si>
  <si>
    <t>Shahbaz Khan</t>
  </si>
  <si>
    <t>Vaibhav sharma</t>
  </si>
  <si>
    <t>Sunil Mishra</t>
  </si>
  <si>
    <t>Avneesh Yadav</t>
  </si>
  <si>
    <t>Sachin Yada</t>
  </si>
  <si>
    <t>Rana singh</t>
  </si>
  <si>
    <t>Arshit Singh</t>
  </si>
  <si>
    <t>Kritaka Singh</t>
  </si>
  <si>
    <t>Kushi zain</t>
  </si>
  <si>
    <t>Avntika Singh</t>
  </si>
  <si>
    <t>Alisha parveen</t>
  </si>
  <si>
    <t>XYZ LIMITED COMPANY OF INDIA</t>
  </si>
  <si>
    <t>For the year ended 31/3/2025</t>
  </si>
  <si>
    <t xml:space="preserve">TRAIL BALANCE </t>
  </si>
  <si>
    <t>S.NO.</t>
  </si>
  <si>
    <t>NAME OF THE ACCOUNTS</t>
  </si>
  <si>
    <t>DEBIT $</t>
  </si>
  <si>
    <t>CREDIT $</t>
  </si>
  <si>
    <t>Singhaniy's capital</t>
  </si>
  <si>
    <t>singhaniy's Drawing</t>
  </si>
  <si>
    <t>Leasehold premises</t>
  </si>
  <si>
    <t>Sales</t>
  </si>
  <si>
    <t xml:space="preserve"> Due from customers </t>
  </si>
  <si>
    <t>Purchases</t>
  </si>
  <si>
    <t>Purchases return</t>
  </si>
  <si>
    <t>Loan from bank</t>
  </si>
  <si>
    <t>Trade payable</t>
  </si>
  <si>
    <t>Trade expenses</t>
  </si>
  <si>
    <t>Cash At Bank(CAB)</t>
  </si>
  <si>
    <t xml:space="preserve">B/P( Bills Payable) </t>
  </si>
  <si>
    <t>Salary and wages</t>
  </si>
  <si>
    <t>Inventaries</t>
  </si>
  <si>
    <t>Rent and Rates</t>
  </si>
  <si>
    <t>Sales Return</t>
  </si>
  <si>
    <t>TOTAL</t>
  </si>
  <si>
    <t>CASHBOOK OF XYZ LIMITED</t>
  </si>
  <si>
    <t>CUSTOMERS NAMES</t>
  </si>
  <si>
    <t xml:space="preserve">CUSTOMERS DETAILS </t>
  </si>
  <si>
    <t>Vishal Singh</t>
  </si>
  <si>
    <t>Kritika Singh</t>
  </si>
  <si>
    <t>Vishal Tyagi</t>
  </si>
  <si>
    <t>M/S Shiva Foundation</t>
  </si>
  <si>
    <t>Divya Store</t>
  </si>
  <si>
    <t>Shiv Tile and Marble</t>
  </si>
  <si>
    <t>Kritaka singh</t>
  </si>
  <si>
    <t>Shiv Hardware</t>
  </si>
  <si>
    <t xml:space="preserve"> Sunil Kumar Mishra </t>
  </si>
  <si>
    <t>Rani Yadav</t>
  </si>
  <si>
    <t>Neha Enterprises</t>
  </si>
  <si>
    <t>Sumit Chaursiya</t>
  </si>
  <si>
    <t>vaibhav Sharma</t>
  </si>
  <si>
    <t>Sunil Kumar</t>
  </si>
  <si>
    <t>Pappu Yadv</t>
  </si>
  <si>
    <t>Neha Construction Company</t>
  </si>
  <si>
    <t>ITEM</t>
  </si>
  <si>
    <t>QTY</t>
  </si>
  <si>
    <t>RATES</t>
  </si>
  <si>
    <t>AMMOUNT</t>
  </si>
  <si>
    <t>RED MARBLE</t>
  </si>
  <si>
    <t>GREY GRANITE</t>
  </si>
  <si>
    <t>STAINLESS STEEL TAPS</t>
  </si>
  <si>
    <t>CONNECTION PIPE</t>
  </si>
  <si>
    <t>TWIN BROTHER TAPS</t>
  </si>
  <si>
    <t>KAJARIA TILES 2/2</t>
  </si>
  <si>
    <t>RED GRANITE</t>
  </si>
  <si>
    <t>LARRISH COMODE 512</t>
  </si>
  <si>
    <t>STEEL PIPE</t>
  </si>
  <si>
    <t>PVC PIPE 4 INCH</t>
  </si>
  <si>
    <t>MARCO TILES</t>
  </si>
  <si>
    <t>IRON NAILS</t>
  </si>
  <si>
    <t>TATA STEEL SINKS</t>
  </si>
  <si>
    <t>CONNECTION PIPES</t>
  </si>
  <si>
    <t>BERGER PAINTS 20 LTR</t>
  </si>
  <si>
    <t>PAINT BRUSH SIZE 2</t>
  </si>
  <si>
    <t>SANKATMOCHAN TRADERS</t>
  </si>
  <si>
    <t xml:space="preserve">AARAVI TRADING ENTERPRISES </t>
  </si>
  <si>
    <t>CASHBOOK REPORT</t>
  </si>
  <si>
    <t>Date</t>
  </si>
  <si>
    <t>Transaction details</t>
  </si>
  <si>
    <t>Cash Received</t>
  </si>
  <si>
    <t>Cash Paid</t>
  </si>
  <si>
    <t>C.I.H</t>
  </si>
  <si>
    <t>13/5/2025</t>
  </si>
  <si>
    <t>12/5/2025 TO 15/52025</t>
  </si>
  <si>
    <t>15/5/2025</t>
  </si>
  <si>
    <t xml:space="preserve"> Total Cash Sales</t>
  </si>
  <si>
    <t>Total Cash Purchase</t>
  </si>
  <si>
    <t>Electricity bills Cash Paid</t>
  </si>
  <si>
    <t>Total Cash Sales</t>
  </si>
  <si>
    <t>Staff Salary Cash paid</t>
  </si>
  <si>
    <t>SALARY SHEET FOR THE MONTH OF JULY 2025</t>
  </si>
  <si>
    <t>SL. NO.</t>
  </si>
  <si>
    <t>NAME OF EMPLOYEE</t>
  </si>
  <si>
    <t>CTC</t>
  </si>
  <si>
    <t xml:space="preserve">BASIC SALARY </t>
  </si>
  <si>
    <t>DA</t>
  </si>
  <si>
    <t>HRA</t>
  </si>
  <si>
    <t>CONVEY</t>
  </si>
  <si>
    <t>MEDICAL</t>
  </si>
  <si>
    <t xml:space="preserve">SPECIAL </t>
  </si>
  <si>
    <t>BONUS</t>
  </si>
  <si>
    <t>TA</t>
  </si>
  <si>
    <t>TOTAL GROSS SALARY</t>
  </si>
  <si>
    <t>CONTRIBUTATION</t>
  </si>
  <si>
    <t>PROFESSION</t>
  </si>
  <si>
    <t>TDS</t>
  </si>
  <si>
    <t>SALARY</t>
  </si>
  <si>
    <t>NET PAYABLE</t>
  </si>
  <si>
    <t>TOTAL DEDUCTIONS</t>
  </si>
  <si>
    <t>Raj Sharma</t>
  </si>
  <si>
    <t>Sharda Devi</t>
  </si>
  <si>
    <t>Danish D'Souza</t>
  </si>
  <si>
    <t>Pawan Patil</t>
  </si>
  <si>
    <t>Roji Mishara</t>
  </si>
  <si>
    <t>Rijo Poul</t>
  </si>
  <si>
    <t>Akash Patel</t>
  </si>
  <si>
    <t>Ganesh Sharma</t>
  </si>
  <si>
    <t>Vinudas K.S.</t>
  </si>
  <si>
    <t>Divya Gupta</t>
  </si>
  <si>
    <t>Shilpi Raj</t>
  </si>
  <si>
    <t>Pawan singh</t>
  </si>
  <si>
    <t>MADALSHA  KHANAN UDHYOG</t>
  </si>
  <si>
    <t>vehicle No.</t>
  </si>
  <si>
    <t>Size</t>
  </si>
  <si>
    <t>Unit</t>
  </si>
  <si>
    <t>Rate</t>
  </si>
  <si>
    <t>Permit</t>
  </si>
  <si>
    <t>Amount</t>
  </si>
  <si>
    <t>Credit</t>
  </si>
  <si>
    <t>Balance</t>
  </si>
  <si>
    <t>DUE</t>
  </si>
  <si>
    <t>JUNE</t>
  </si>
  <si>
    <t>01.07.25</t>
  </si>
  <si>
    <t>02.07.25</t>
  </si>
  <si>
    <t>03.07.25</t>
  </si>
  <si>
    <t>04.07.25</t>
  </si>
  <si>
    <t>05.07.25</t>
  </si>
  <si>
    <t>06.07..25</t>
  </si>
  <si>
    <t>07.07.25</t>
  </si>
  <si>
    <t>08.07.25</t>
  </si>
  <si>
    <t>09.07.25</t>
  </si>
  <si>
    <t>10.07.25</t>
  </si>
  <si>
    <t>11.07.25</t>
  </si>
  <si>
    <t>12.07.25</t>
  </si>
  <si>
    <t>13.07.25</t>
  </si>
  <si>
    <t>14.07.25</t>
  </si>
  <si>
    <t>06.07.25</t>
  </si>
  <si>
    <t>A/C</t>
  </si>
  <si>
    <t>10MM</t>
  </si>
  <si>
    <t>20MM</t>
  </si>
  <si>
    <t>30MM</t>
  </si>
  <si>
    <t>DUST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</si>
  <si>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</si>
  <si>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</si>
  <si>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</si>
  <si>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</si>
  <si>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</si>
  <si>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</si>
  <si>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</si>
  <si>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</si>
  <si>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</si>
  <si>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</si>
  <si>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ITEM 1</t>
  </si>
  <si>
    <t>SR.NO.</t>
  </si>
  <si>
    <t>PRICE</t>
  </si>
  <si>
    <t>ITEM 2</t>
  </si>
  <si>
    <t>IRON NAILS B</t>
  </si>
  <si>
    <t>IRON NAILS A</t>
  </si>
  <si>
    <t xml:space="preserve">AMOUNT </t>
  </si>
  <si>
    <t>SHAMS INDIAN BATHROOM SHEET</t>
  </si>
  <si>
    <t xml:space="preserve"> BLACK GRANITE</t>
  </si>
  <si>
    <t>A</t>
  </si>
  <si>
    <t xml:space="preserve">P  </t>
  </si>
  <si>
    <t>P</t>
  </si>
  <si>
    <t xml:space="preserve"> TOTAL [A]</t>
  </si>
  <si>
    <t xml:space="preserve">   </t>
  </si>
  <si>
    <t>LOAN  INSTALLMENT CALCULATION</t>
  </si>
  <si>
    <t>AARVI TRADING ENTERPRISES</t>
  </si>
  <si>
    <t>Sr. No.</t>
  </si>
  <si>
    <t>Customer Name</t>
  </si>
  <si>
    <t>Loan amount</t>
  </si>
  <si>
    <t xml:space="preserve">Rate Of Interest </t>
  </si>
  <si>
    <t>Duration</t>
  </si>
  <si>
    <t>Interest</t>
  </si>
  <si>
    <t>Total Amount</t>
  </si>
  <si>
    <t>Installment</t>
  </si>
  <si>
    <t xml:space="preserve">Pankaj </t>
  </si>
  <si>
    <t>Manoj</t>
  </si>
  <si>
    <t>Pramod</t>
  </si>
  <si>
    <t>Vinod</t>
  </si>
  <si>
    <t>Banrakas</t>
  </si>
  <si>
    <t>Pradhan Ji</t>
  </si>
  <si>
    <t>Ravi</t>
  </si>
  <si>
    <t>Rahul</t>
  </si>
  <si>
    <t>Happy Singh</t>
  </si>
  <si>
    <t>Sunny Upadhayay</t>
  </si>
  <si>
    <t>Aman Yadav</t>
  </si>
  <si>
    <t>Suraj Yadav</t>
  </si>
  <si>
    <t xml:space="preserve">Naveen Gupta </t>
  </si>
  <si>
    <t xml:space="preserve">Sobhnath Gupta </t>
  </si>
  <si>
    <t>Anurag Singh</t>
  </si>
  <si>
    <t>Harshit Singh</t>
  </si>
  <si>
    <t>O.P.Singh</t>
  </si>
  <si>
    <t>Guddu Singh</t>
  </si>
  <si>
    <t>SUMIF FORMULA</t>
  </si>
  <si>
    <t>M.J.R.P.PUBLIC SCHOOL</t>
  </si>
  <si>
    <t>JAGDISHPURAM GHAZIPUR</t>
  </si>
  <si>
    <t>MARKSHEET</t>
  </si>
  <si>
    <t>CLASS -9                                  CLASS TEACHER- DEVENDRA MISHRA</t>
  </si>
  <si>
    <t>Sr.No.</t>
  </si>
  <si>
    <t>Student Name</t>
  </si>
  <si>
    <t>SUBJECT</t>
  </si>
  <si>
    <t>Hindi</t>
  </si>
  <si>
    <t>English</t>
  </si>
  <si>
    <t>Maths</t>
  </si>
  <si>
    <t>Science</t>
  </si>
  <si>
    <t>Social Science</t>
  </si>
  <si>
    <t>Computer</t>
  </si>
  <si>
    <t>Pankaj Pathak</t>
  </si>
  <si>
    <t>Rahul Dravin</t>
  </si>
  <si>
    <t>Suraj Kushwaha</t>
  </si>
  <si>
    <t>PERCENTAGE</t>
  </si>
  <si>
    <t>GRADE</t>
  </si>
  <si>
    <t>Shreya  Singh</t>
  </si>
  <si>
    <t>ID</t>
  </si>
  <si>
    <t>REGION</t>
  </si>
  <si>
    <t>CITY</t>
  </si>
  <si>
    <t>CATEGORY</t>
  </si>
  <si>
    <t>PRODUCT</t>
  </si>
  <si>
    <t>QUANTITY</t>
  </si>
  <si>
    <t>PER UNIT COST</t>
  </si>
  <si>
    <t>ID07351</t>
  </si>
  <si>
    <t>ID07352</t>
  </si>
  <si>
    <t>ID07353</t>
  </si>
  <si>
    <t>ID07354</t>
  </si>
  <si>
    <t>ID07355</t>
  </si>
  <si>
    <t>ID07356</t>
  </si>
  <si>
    <t>ID07357</t>
  </si>
  <si>
    <t>ID07358</t>
  </si>
  <si>
    <t>ID07359</t>
  </si>
  <si>
    <t>ID07360</t>
  </si>
  <si>
    <t>ID07361</t>
  </si>
  <si>
    <t>ID07362</t>
  </si>
  <si>
    <t>ID07363</t>
  </si>
  <si>
    <t>ID07364</t>
  </si>
  <si>
    <t>ID07365</t>
  </si>
  <si>
    <t>ID07366</t>
  </si>
  <si>
    <t>ID07367</t>
  </si>
  <si>
    <t>ID07368</t>
  </si>
  <si>
    <t>EAST</t>
  </si>
  <si>
    <t>Kolkata</t>
  </si>
  <si>
    <t>Patna</t>
  </si>
  <si>
    <t>Sasaram</t>
  </si>
  <si>
    <t>Varansi</t>
  </si>
  <si>
    <t>Bars</t>
  </si>
  <si>
    <t>Crackers</t>
  </si>
  <si>
    <t>Cookies</t>
  </si>
  <si>
    <t>Snacks</t>
  </si>
  <si>
    <t>Carrot</t>
  </si>
  <si>
    <t>Whole Wheat</t>
  </si>
  <si>
    <t>Chocolate Candy</t>
  </si>
  <si>
    <t>Potato Chips</t>
  </si>
  <si>
    <t>Sauce</t>
  </si>
  <si>
    <t>Syrup</t>
  </si>
  <si>
    <t>TRADING BOOK OF AARVI ENTERPRISES</t>
  </si>
  <si>
    <t>Employee ID</t>
  </si>
  <si>
    <t>Full Name</t>
  </si>
  <si>
    <t>Job Title</t>
  </si>
  <si>
    <t>Department</t>
  </si>
  <si>
    <t>Business Unit</t>
  </si>
  <si>
    <t>Age</t>
  </si>
  <si>
    <t>Ethenicity</t>
  </si>
  <si>
    <t>Hire date</t>
  </si>
  <si>
    <t>Country</t>
  </si>
  <si>
    <t>City</t>
  </si>
  <si>
    <t>Exit Date</t>
  </si>
  <si>
    <t>Annual Date</t>
  </si>
  <si>
    <t>Bonus %</t>
  </si>
  <si>
    <t>E247685</t>
  </si>
  <si>
    <t>E247686</t>
  </si>
  <si>
    <t>E247687</t>
  </si>
  <si>
    <t>E247688</t>
  </si>
  <si>
    <t>E247689</t>
  </si>
  <si>
    <t>E247690</t>
  </si>
  <si>
    <t>E247691</t>
  </si>
  <si>
    <t>E247692</t>
  </si>
  <si>
    <t>E247693</t>
  </si>
  <si>
    <t>E247694</t>
  </si>
  <si>
    <t>E247695</t>
  </si>
  <si>
    <t>E247696</t>
  </si>
  <si>
    <t>E247697</t>
  </si>
  <si>
    <t>E247698</t>
  </si>
  <si>
    <t>E247699</t>
  </si>
  <si>
    <t>E247700</t>
  </si>
  <si>
    <t>E247701</t>
  </si>
  <si>
    <t>E247702</t>
  </si>
  <si>
    <t>E247703</t>
  </si>
  <si>
    <t>E247704</t>
  </si>
  <si>
    <t>E247705</t>
  </si>
  <si>
    <t>E247706</t>
  </si>
  <si>
    <t>E247707</t>
  </si>
  <si>
    <t>Supriya Chaursiya</t>
  </si>
  <si>
    <t>Ravi Gupta</t>
  </si>
  <si>
    <t>Hardik Patel</t>
  </si>
  <si>
    <t>Mohan Mehra</t>
  </si>
  <si>
    <t>Shmita Patil</t>
  </si>
  <si>
    <t>Nidhi Singh</t>
  </si>
  <si>
    <t>Manoj Singh</t>
  </si>
  <si>
    <t>Rahul Pandey</t>
  </si>
  <si>
    <t>Sanjay Gupta</t>
  </si>
  <si>
    <t>Manoj Yadav</t>
  </si>
  <si>
    <t>Rahul Darda</t>
  </si>
  <si>
    <t>Abhishek Gupta</t>
  </si>
  <si>
    <t>Shreya Pandit</t>
  </si>
  <si>
    <t>Neha Singh</t>
  </si>
  <si>
    <t>Suraj Mishra</t>
  </si>
  <si>
    <t>Anuj Shriwastawa</t>
  </si>
  <si>
    <t>Ayush Singh</t>
  </si>
  <si>
    <t>Avantika Singh</t>
  </si>
  <si>
    <t>Tammana Parveen</t>
  </si>
  <si>
    <t>Tarranum Khan</t>
  </si>
  <si>
    <t>Rahul Bhatiya</t>
  </si>
  <si>
    <t>Rija Shidiqui</t>
  </si>
  <si>
    <r>
      <t xml:space="preserve">                                                                   </t>
    </r>
    <r>
      <rPr>
        <b/>
        <sz val="14"/>
        <color theme="0"/>
        <rFont val="Calibri"/>
        <family val="2"/>
        <scheme val="minor"/>
      </rPr>
      <t xml:space="preserve"> SANKAT  MOCHAN TRADING COMPANY PROVIDE BEST DEALS </t>
    </r>
    <r>
      <rPr>
        <b/>
        <sz val="12"/>
        <color theme="1"/>
        <rFont val="Calibri"/>
        <family val="2"/>
        <scheme val="minor"/>
      </rPr>
      <t xml:space="preserve">
                                                                                                      </t>
    </r>
    <r>
      <rPr>
        <b/>
        <sz val="12"/>
        <color theme="0"/>
        <rFont val="Calibri"/>
        <family val="2"/>
        <scheme val="minor"/>
      </rPr>
      <t xml:space="preserve">       CONTACT NO.-7651829694 </t>
    </r>
  </si>
  <si>
    <t>roman</t>
  </si>
  <si>
    <t>sqrt/round</t>
  </si>
  <si>
    <t>sumif</t>
  </si>
  <si>
    <t>sumifs</t>
  </si>
  <si>
    <t>state</t>
  </si>
  <si>
    <t>up</t>
  </si>
  <si>
    <t>mp</t>
  </si>
  <si>
    <t>uttarakhamd</t>
  </si>
  <si>
    <t>ap</t>
  </si>
  <si>
    <t>bengal</t>
  </si>
  <si>
    <t>maharastra</t>
  </si>
  <si>
    <t>bihar</t>
  </si>
  <si>
    <t>gujrat</t>
  </si>
  <si>
    <t>tamilnadu</t>
  </si>
  <si>
    <t>sumprod</t>
  </si>
  <si>
    <t>sumproduct</t>
  </si>
  <si>
    <t>integer</t>
  </si>
  <si>
    <t>mod</t>
  </si>
  <si>
    <t>proper</t>
  </si>
  <si>
    <t>lower/upper</t>
  </si>
  <si>
    <t>left/lower/upper</t>
  </si>
  <si>
    <t>mid</t>
  </si>
  <si>
    <t>len(lenghth)</t>
  </si>
  <si>
    <t>concatenate</t>
  </si>
  <si>
    <t>exact</t>
  </si>
  <si>
    <t>TRIM</t>
  </si>
  <si>
    <t>?</t>
  </si>
  <si>
    <t>average</t>
  </si>
  <si>
    <t>hjuhg</t>
  </si>
  <si>
    <t>kho</t>
  </si>
  <si>
    <t>averageA/round</t>
  </si>
  <si>
    <t>averageif</t>
  </si>
  <si>
    <t>averageifs</t>
  </si>
  <si>
    <t>count</t>
  </si>
  <si>
    <t>countblank</t>
  </si>
  <si>
    <t xml:space="preserve"> countA</t>
  </si>
  <si>
    <t>COUNTIF</t>
  </si>
  <si>
    <t>max</t>
  </si>
  <si>
    <t>min</t>
  </si>
  <si>
    <t>mode</t>
  </si>
  <si>
    <t>lookup</t>
  </si>
  <si>
    <t>RED      MARBLE</t>
  </si>
  <si>
    <t>Region</t>
  </si>
  <si>
    <t>Product</t>
  </si>
  <si>
    <t>TS</t>
  </si>
  <si>
    <t>east</t>
  </si>
  <si>
    <t>west</t>
  </si>
  <si>
    <t>south</t>
  </si>
  <si>
    <t>north</t>
  </si>
  <si>
    <t>pen</t>
  </si>
  <si>
    <t>marker</t>
  </si>
  <si>
    <t>eraser</t>
  </si>
  <si>
    <t>whiteboard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</si>
</sst>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65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C99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17" fillId="5" borderId="3" applyNumberFormat="0" applyAlignment="0" applyProtection="0"/>
    <xf numFmtId="0" fontId="1" fillId="6" borderId="0" applyNumberFormat="0" applyBorder="0" applyAlignment="0" applyProtection="0"/>
    <xf numFmtId="0" fontId="6" fillId="7" borderId="0" applyNumberFormat="0" applyBorder="0" applyAlignment="0" applyProtection="0"/>
  </cellStyleXfs>
  <cellXfs count="82">
    <xf numFmtId="0" fontId="0" fillId="0" borderId="0" xfId="0"/>
    <xf numFmtId="0" fontId="0" fillId="0" borderId="1" xfId="0" applyBorder="1"/>
    <xf numFmtId="3" fontId="0" fillId="0" borderId="1" xfId="0" applyNumberFormat="1" applyBorder="1"/>
    <xf numFmtId="3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5" fillId="3" borderId="1" xfId="3" applyBorder="1"/>
    <xf numFmtId="0" fontId="0" fillId="0" borderId="1" xfId="1" applyNumberFormat="1" applyFont="1" applyBorder="1" applyAlignment="1">
      <alignment horizontal="left"/>
    </xf>
    <xf numFmtId="14" fontId="6" fillId="4" borderId="1" xfId="4" applyNumberFormat="1" applyBorder="1"/>
    <xf numFmtId="0" fontId="8" fillId="0" borderId="1" xfId="0" applyFont="1" applyBorder="1"/>
    <xf numFmtId="0" fontId="13" fillId="0" borderId="1" xfId="0" applyFont="1" applyBorder="1"/>
    <xf numFmtId="0" fontId="0" fillId="0" borderId="2" xfId="0" applyBorder="1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17" fillId="5" borderId="3" xfId="5"/>
    <xf numFmtId="0" fontId="5" fillId="3" borderId="1" xfId="3" applyBorder="1" applyAlignment="1">
      <alignment horizontal="center"/>
    </xf>
    <xf numFmtId="0" fontId="17" fillId="5" borderId="3" xfId="5" applyAlignment="1">
      <alignment horizontal="center"/>
    </xf>
    <xf numFmtId="0" fontId="5" fillId="3" borderId="4" xfId="3" applyBorder="1"/>
    <xf numFmtId="0" fontId="0" fillId="0" borderId="4" xfId="0" applyBorder="1"/>
    <xf numFmtId="0" fontId="5" fillId="3" borderId="5" xfId="3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5" fillId="3" borderId="6" xfId="3" applyBorder="1"/>
    <xf numFmtId="0" fontId="5" fillId="3" borderId="7" xfId="3" applyBorder="1" applyAlignment="1">
      <alignment horizontal="center"/>
    </xf>
    <xf numFmtId="0" fontId="5" fillId="3" borderId="8" xfId="3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" fillId="0" borderId="11" xfId="0" applyFont="1" applyBorder="1"/>
    <xf numFmtId="9" fontId="0" fillId="0" borderId="1" xfId="0" applyNumberFormat="1" applyBorder="1" applyAlignment="1">
      <alignment horizontal="center"/>
    </xf>
    <xf numFmtId="0" fontId="1" fillId="6" borderId="1" xfId="6" applyBorder="1" applyAlignment="1">
      <alignment horizontal="center"/>
    </xf>
    <xf numFmtId="0" fontId="6" fillId="7" borderId="1" xfId="7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16" fontId="0" fillId="0" borderId="1" xfId="0" applyNumberForma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0" borderId="1" xfId="0" applyFont="1" applyBorder="1"/>
    <xf numFmtId="14" fontId="0" fillId="0" borderId="1" xfId="0" applyNumberFormat="1" applyBorder="1" applyAlignment="1">
      <alignment horizontal="center"/>
    </xf>
    <xf numFmtId="0" fontId="9" fillId="0" borderId="0" xfId="0" applyFont="1"/>
    <xf numFmtId="0" fontId="15" fillId="0" borderId="0" xfId="0" applyFont="1" applyAlignment="1">
      <alignment horizontal="center"/>
    </xf>
    <xf numFmtId="0" fontId="2" fillId="0" borderId="14" xfId="0" applyFont="1" applyBorder="1" applyAlignment="1">
      <alignment horizontal="center"/>
    </xf>
    <xf numFmtId="0" fontId="14" fillId="0" borderId="0" xfId="0" applyFont="1"/>
    <xf numFmtId="0" fontId="9" fillId="0" borderId="1" xfId="0" applyFont="1" applyBorder="1" applyAlignment="1">
      <alignment horizontal="center"/>
    </xf>
    <xf numFmtId="0" fontId="0" fillId="0" borderId="1" xfId="0" applyBorder="1"/>
    <xf numFmtId="0" fontId="4" fillId="2" borderId="1" xfId="2" applyBorder="1"/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center"/>
    </xf>
    <xf numFmtId="0" fontId="21" fillId="9" borderId="0" xfId="0" applyFont="1" applyFill="1" applyAlignment="1">
      <alignment horizontal="center"/>
    </xf>
    <xf numFmtId="0" fontId="16" fillId="0" borderId="1" xfId="0" applyFont="1" applyBorder="1"/>
    <xf numFmtId="0" fontId="2" fillId="0" borderId="1" xfId="0" applyFont="1" applyBorder="1"/>
    <xf numFmtId="0" fontId="14" fillId="0" borderId="1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/>
  </cellXfs>
  <cellStyles count="8">
    <cellStyle name="40% - Accent1" xfId="6" builtinId="31"/>
    <cellStyle name="60% - Accent1" xfId="4" builtinId="32"/>
    <cellStyle name="Accent3" xfId="7" builtinId="37"/>
    <cellStyle name="Comma" xfId="1" builtinId="3"/>
    <cellStyle name="Good" xfId="2" builtinId="26"/>
    <cellStyle name="Input" xfId="5" builtinId="20"/>
    <cellStyle name="Neutral" xfId="3" builtinId="28"/>
    <cellStyle name="Normal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40141018957996"/>
          <c:y val="7.4548884514435698E-2"/>
          <c:w val="0.49952449693788276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'cashbook report of aarvi'!$B$6</c:f>
              <c:strCache>
                <c:ptCount val="1"/>
                <c:pt idx="0">
                  <c:v> Total Cash Sales</c:v>
                </c:pt>
              </c:strCache>
            </c:strRef>
          </c:tx>
          <c:val>
            <c:numRef>
              <c:f>'cashbook report of aarvi'!$C$6:$I$6</c:f>
              <c:numCache>
                <c:formatCode>General</c:formatCode>
                <c:ptCount val="7"/>
                <c:pt idx="2">
                  <c:v>90000</c:v>
                </c:pt>
                <c:pt idx="6">
                  <c:v>10000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2E8-46F8-A7DB-54695DDBCEEB}"/>
            </c:ext>
          </c:extLst>
        </c:ser>
        <c:ser>
          <c:idx val="1"/>
          <c:order val="1"/>
          <c:tx>
            <c:strRef>
              <c:f>'cashbook report of aarvi'!$B$7</c:f>
              <c:strCache>
                <c:ptCount val="1"/>
                <c:pt idx="0">
                  <c:v>Total Cash Purchase</c:v>
                </c:pt>
              </c:strCache>
            </c:strRef>
          </c:tx>
          <c:val>
            <c:numRef>
              <c:f>'cashbook report of aarvi'!$C$7:$I$7</c:f>
              <c:numCache>
                <c:formatCode>General</c:formatCode>
                <c:ptCount val="7"/>
                <c:pt idx="4">
                  <c:v>83000</c:v>
                </c:pt>
                <c:pt idx="6">
                  <c:v>7000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2E8-46F8-A7DB-54695DDBCEEB}"/>
            </c:ext>
          </c:extLst>
        </c:ser>
        <c:ser>
          <c:idx val="2"/>
          <c:order val="2"/>
          <c:tx>
            <c:strRef>
              <c:f>'cashbook report of aarvi'!$B$8</c:f>
              <c:strCache>
                <c:ptCount val="1"/>
                <c:pt idx="0">
                  <c:v>Electricity bills Cash Paid</c:v>
                </c:pt>
              </c:strCache>
            </c:strRef>
          </c:tx>
          <c:val>
            <c:numRef>
              <c:f>'cashbook report of aarvi'!$C$8:$I$8</c:f>
              <c:numCache>
                <c:formatCode>General</c:formatCode>
                <c:ptCount val="7"/>
                <c:pt idx="4">
                  <c:v>2000</c:v>
                </c:pt>
                <c:pt idx="6">
                  <c:v>5000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2E8-46F8-A7DB-54695DDBCEEB}"/>
            </c:ext>
          </c:extLst>
        </c:ser>
        <c:ser>
          <c:idx val="3"/>
          <c:order val="3"/>
          <c:tx>
            <c:strRef>
              <c:f>'cashbook report of aarvi'!$B$9</c:f>
              <c:strCache>
                <c:ptCount val="1"/>
                <c:pt idx="0">
                  <c:v>Total Cash Sales</c:v>
                </c:pt>
              </c:strCache>
            </c:strRef>
          </c:tx>
          <c:val>
            <c:numRef>
              <c:f>'cashbook report of aarvi'!$C$9:$I$9</c:f>
              <c:numCache>
                <c:formatCode>General</c:formatCode>
                <c:ptCount val="7"/>
                <c:pt idx="2">
                  <c:v>86000</c:v>
                </c:pt>
                <c:pt idx="4">
                  <c:v>75000</c:v>
                </c:pt>
                <c:pt idx="6">
                  <c:v>91000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2E8-46F8-A7DB-54695DDBCEEB}"/>
            </c:ext>
          </c:extLst>
        </c:ser>
        <c:ser>
          <c:idx val="4"/>
          <c:order val="4"/>
          <c:tx>
            <c:strRef>
              <c:f>'cashbook report of aarvi'!$B$10</c:f>
              <c:strCache>
                <c:ptCount val="1"/>
                <c:pt idx="0">
                  <c:v>Staff Salary Cash paid</c:v>
                </c:pt>
              </c:strCache>
            </c:strRef>
          </c:tx>
          <c:val>
            <c:numRef>
              <c:f>'cashbook report of aarvi'!$C$10:$I$10</c:f>
              <c:numCache>
                <c:formatCode>General</c:formatCode>
                <c:ptCount val="7"/>
                <c:pt idx="4">
                  <c:v>15000</c:v>
                </c:pt>
                <c:pt idx="6">
                  <c:v>76000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E2E8-46F8-A7DB-54695DDBC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485696"/>
        <c:axId val="323487232"/>
      </c:lineChart>
      <c:catAx>
        <c:axId val="323485696"/>
        <c:scaling>
          <c:orientation val="minMax"/>
        </c:scaling>
        <c:delete val="0"/>
        <c:axPos val="b"/>
        <c:majorTickMark val="out"/>
        <c:minorTickMark val="none"/>
        <c:tickLblPos val="nextTo"/>
        <c:crossAx val="323487232"/>
        <c:crosses val="autoZero"/>
        <c:auto val="1"/>
        <c:lblAlgn val="ctr"/>
        <c:lblOffset val="100"/>
        <c:noMultiLvlLbl val="0"/>
      </c:catAx>
      <c:valAx>
        <c:axId val="323487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3485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340332458442698E-2"/>
          <c:y val="5.5555555555555552E-2"/>
          <c:w val="0.53888888888888886"/>
          <c:h val="0.89814814814814814"/>
        </c:manualLayout>
      </c:layout>
      <c:pieChart>
        <c:varyColors val="1"/>
        <c:ser>
          <c:idx val="0"/>
          <c:order val="0"/>
          <c:explosion val="25"/>
          <c:cat>
            <c:multiLvlStrRef>
              <c:f>Sheet4!$C$3:$F$21</c:f>
              <c:multiLvlStrCache>
                <c:ptCount val="19"/>
                <c:lvl>
                  <c:pt idx="0">
                    <c:v>Carrot</c:v>
                  </c:pt>
                  <c:pt idx="1">
                    <c:v>Whole Wheat</c:v>
                  </c:pt>
                  <c:pt idx="2">
                    <c:v>Chocolate Candy</c:v>
                  </c:pt>
                  <c:pt idx="3">
                    <c:v>Chocolate Candy</c:v>
                  </c:pt>
                  <c:pt idx="4">
                    <c:v>Chocolate Candy</c:v>
                  </c:pt>
                  <c:pt idx="5">
                    <c:v>Sauce</c:v>
                  </c:pt>
                  <c:pt idx="6">
                    <c:v>Chocolate Candy</c:v>
                  </c:pt>
                  <c:pt idx="7">
                    <c:v>Potato Chips</c:v>
                  </c:pt>
                  <c:pt idx="8">
                    <c:v>Potato Chips</c:v>
                  </c:pt>
                  <c:pt idx="9">
                    <c:v>Potato Chips</c:v>
                  </c:pt>
                  <c:pt idx="10">
                    <c:v>Potato Chips</c:v>
                  </c:pt>
                  <c:pt idx="11">
                    <c:v>Potato Chips</c:v>
                  </c:pt>
                  <c:pt idx="12">
                    <c:v>Carrot</c:v>
                  </c:pt>
                  <c:pt idx="13">
                    <c:v>Carrot</c:v>
                  </c:pt>
                  <c:pt idx="14">
                    <c:v>Whole Wheat</c:v>
                  </c:pt>
                  <c:pt idx="15">
                    <c:v>Potato Chips</c:v>
                  </c:pt>
                  <c:pt idx="16">
                    <c:v>Chocolate Candy</c:v>
                  </c:pt>
                  <c:pt idx="17">
                    <c:v>Chocolate Candy</c:v>
                  </c:pt>
                  <c:pt idx="18">
                    <c:v>Chocolate Candy</c:v>
                  </c:pt>
                </c:lvl>
                <c:lvl>
                  <c:pt idx="0">
                    <c:v>Bars</c:v>
                  </c:pt>
                  <c:pt idx="1">
                    <c:v>Crackers</c:v>
                  </c:pt>
                  <c:pt idx="2">
                    <c:v>Cookies</c:v>
                  </c:pt>
                  <c:pt idx="3">
                    <c:v>Cookies</c:v>
                  </c:pt>
                  <c:pt idx="4">
                    <c:v>Cookies</c:v>
                  </c:pt>
                  <c:pt idx="5">
                    <c:v>Syrup</c:v>
                  </c:pt>
                  <c:pt idx="6">
                    <c:v>Cookies</c:v>
                  </c:pt>
                  <c:pt idx="7">
                    <c:v>Snacks</c:v>
                  </c:pt>
                  <c:pt idx="8">
                    <c:v>Snacks</c:v>
                  </c:pt>
                  <c:pt idx="9">
                    <c:v>Snacks</c:v>
                  </c:pt>
                  <c:pt idx="10">
                    <c:v>Snacks</c:v>
                  </c:pt>
                  <c:pt idx="11">
                    <c:v>Snacks</c:v>
                  </c:pt>
                  <c:pt idx="12">
                    <c:v>Bars</c:v>
                  </c:pt>
                  <c:pt idx="13">
                    <c:v>Bars</c:v>
                  </c:pt>
                  <c:pt idx="14">
                    <c:v>Crackers</c:v>
                  </c:pt>
                  <c:pt idx="15">
                    <c:v>Snacks</c:v>
                  </c:pt>
                  <c:pt idx="16">
                    <c:v>Cookies</c:v>
                  </c:pt>
                  <c:pt idx="17">
                    <c:v>Cookies</c:v>
                  </c:pt>
                  <c:pt idx="18">
                    <c:v>Cookies</c:v>
                  </c:pt>
                </c:lvl>
                <c:lvl>
                  <c:pt idx="0">
                    <c:v>Kolkata</c:v>
                  </c:pt>
                  <c:pt idx="1">
                    <c:v>Patna</c:v>
                  </c:pt>
                  <c:pt idx="2">
                    <c:v>Sasaram</c:v>
                  </c:pt>
                  <c:pt idx="3">
                    <c:v>Sasaram</c:v>
                  </c:pt>
                  <c:pt idx="4">
                    <c:v>Sasaram</c:v>
                  </c:pt>
                  <c:pt idx="5">
                    <c:v>Sasaram</c:v>
                  </c:pt>
                  <c:pt idx="6">
                    <c:v>Varansi</c:v>
                  </c:pt>
                  <c:pt idx="7">
                    <c:v>Varansi</c:v>
                  </c:pt>
                  <c:pt idx="8">
                    <c:v>Varansi</c:v>
                  </c:pt>
                  <c:pt idx="9">
                    <c:v>Varansi</c:v>
                  </c:pt>
                  <c:pt idx="10">
                    <c:v>Kolkata</c:v>
                  </c:pt>
                  <c:pt idx="11">
                    <c:v>Kolkata</c:v>
                  </c:pt>
                  <c:pt idx="12">
                    <c:v>Sasaram</c:v>
                  </c:pt>
                  <c:pt idx="13">
                    <c:v>Sasaram</c:v>
                  </c:pt>
                  <c:pt idx="14">
                    <c:v>Sasaram</c:v>
                  </c:pt>
                  <c:pt idx="15">
                    <c:v>Sasaram</c:v>
                  </c:pt>
                  <c:pt idx="16">
                    <c:v>Sasaram</c:v>
                  </c:pt>
                  <c:pt idx="17">
                    <c:v>Kolkata</c:v>
                  </c:pt>
                  <c:pt idx="18">
                    <c:v>Kolkata</c:v>
                  </c:pt>
                </c:lvl>
                <c:lvl>
                  <c:pt idx="0">
                    <c:v>EAST</c:v>
                  </c:pt>
                  <c:pt idx="1">
                    <c:v>EAST</c:v>
                  </c:pt>
                  <c:pt idx="2">
                    <c:v>EAST</c:v>
                  </c:pt>
                  <c:pt idx="3">
                    <c:v>EAST</c:v>
                  </c:pt>
                  <c:pt idx="4">
                    <c:v>EAST</c:v>
                  </c:pt>
                  <c:pt idx="5">
                    <c:v>EAST</c:v>
                  </c:pt>
                  <c:pt idx="6">
                    <c:v>EAST</c:v>
                  </c:pt>
                  <c:pt idx="7">
                    <c:v>EAST</c:v>
                  </c:pt>
                  <c:pt idx="8">
                    <c:v>EAST</c:v>
                  </c:pt>
                  <c:pt idx="9">
                    <c:v>EAST</c:v>
                  </c:pt>
                  <c:pt idx="10">
                    <c:v>EAST</c:v>
                  </c:pt>
                  <c:pt idx="11">
                    <c:v>EAST</c:v>
                  </c:pt>
                  <c:pt idx="12">
                    <c:v>EAST</c:v>
                  </c:pt>
                  <c:pt idx="13">
                    <c:v>EAST</c:v>
                  </c:pt>
                  <c:pt idx="14">
                    <c:v>EAST</c:v>
                  </c:pt>
                  <c:pt idx="15">
                    <c:v>EAST</c:v>
                  </c:pt>
                  <c:pt idx="16">
                    <c:v>EAST</c:v>
                  </c:pt>
                  <c:pt idx="17">
                    <c:v>EAST</c:v>
                  </c:pt>
                  <c:pt idx="18">
                    <c:v>EAST</c:v>
                  </c:pt>
                </c:lvl>
              </c:multiLvlStrCache>
            </c:multiLvlStrRef>
          </c:cat>
          <c:val>
            <c:numRef>
              <c:f>Sheet4!$G$3:$G$21</c:f>
              <c:numCache>
                <c:formatCode>General</c:formatCode>
                <c:ptCount val="19"/>
                <c:pt idx="0">
                  <c:v>33</c:v>
                </c:pt>
                <c:pt idx="1">
                  <c:v>599</c:v>
                </c:pt>
                <c:pt idx="2">
                  <c:v>415</c:v>
                </c:pt>
                <c:pt idx="3">
                  <c:v>45</c:v>
                </c:pt>
                <c:pt idx="4">
                  <c:v>5545</c:v>
                </c:pt>
                <c:pt idx="5">
                  <c:v>5585</c:v>
                </c:pt>
                <c:pt idx="6">
                  <c:v>47898</c:v>
                </c:pt>
                <c:pt idx="7">
                  <c:v>4424</c:v>
                </c:pt>
                <c:pt idx="8">
                  <c:v>224</c:v>
                </c:pt>
                <c:pt idx="9">
                  <c:v>455</c:v>
                </c:pt>
                <c:pt idx="10">
                  <c:v>4556</c:v>
                </c:pt>
                <c:pt idx="11">
                  <c:v>4142</c:v>
                </c:pt>
                <c:pt idx="12">
                  <c:v>396</c:v>
                </c:pt>
                <c:pt idx="13">
                  <c:v>9858</c:v>
                </c:pt>
                <c:pt idx="14">
                  <c:v>8455</c:v>
                </c:pt>
                <c:pt idx="15">
                  <c:v>4987</c:v>
                </c:pt>
                <c:pt idx="16">
                  <c:v>98</c:v>
                </c:pt>
                <c:pt idx="17">
                  <c:v>45656</c:v>
                </c:pt>
                <c:pt idx="18">
                  <c:v>688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9B4-4286-B196-85BDB786E674}"/>
            </c:ext>
          </c:extLst>
        </c:ser>
        <c:ser>
          <c:idx val="1"/>
          <c:order val="1"/>
          <c:explosion val="25"/>
          <c:cat>
            <c:multiLvlStrRef>
              <c:f>Sheet4!$C$3:$F$21</c:f>
              <c:multiLvlStrCache>
                <c:ptCount val="19"/>
                <c:lvl>
                  <c:pt idx="0">
                    <c:v>Carrot</c:v>
                  </c:pt>
                  <c:pt idx="1">
                    <c:v>Whole Wheat</c:v>
                  </c:pt>
                  <c:pt idx="2">
                    <c:v>Chocolate Candy</c:v>
                  </c:pt>
                  <c:pt idx="3">
                    <c:v>Chocolate Candy</c:v>
                  </c:pt>
                  <c:pt idx="4">
                    <c:v>Chocolate Candy</c:v>
                  </c:pt>
                  <c:pt idx="5">
                    <c:v>Sauce</c:v>
                  </c:pt>
                  <c:pt idx="6">
                    <c:v>Chocolate Candy</c:v>
                  </c:pt>
                  <c:pt idx="7">
                    <c:v>Potato Chips</c:v>
                  </c:pt>
                  <c:pt idx="8">
                    <c:v>Potato Chips</c:v>
                  </c:pt>
                  <c:pt idx="9">
                    <c:v>Potato Chips</c:v>
                  </c:pt>
                  <c:pt idx="10">
                    <c:v>Potato Chips</c:v>
                  </c:pt>
                  <c:pt idx="11">
                    <c:v>Potato Chips</c:v>
                  </c:pt>
                  <c:pt idx="12">
                    <c:v>Carrot</c:v>
                  </c:pt>
                  <c:pt idx="13">
                    <c:v>Carrot</c:v>
                  </c:pt>
                  <c:pt idx="14">
                    <c:v>Whole Wheat</c:v>
                  </c:pt>
                  <c:pt idx="15">
                    <c:v>Potato Chips</c:v>
                  </c:pt>
                  <c:pt idx="16">
                    <c:v>Chocolate Candy</c:v>
                  </c:pt>
                  <c:pt idx="17">
                    <c:v>Chocolate Candy</c:v>
                  </c:pt>
                  <c:pt idx="18">
                    <c:v>Chocolate Candy</c:v>
                  </c:pt>
                </c:lvl>
                <c:lvl>
                  <c:pt idx="0">
                    <c:v>Bars</c:v>
                  </c:pt>
                  <c:pt idx="1">
                    <c:v>Crackers</c:v>
                  </c:pt>
                  <c:pt idx="2">
                    <c:v>Cookies</c:v>
                  </c:pt>
                  <c:pt idx="3">
                    <c:v>Cookies</c:v>
                  </c:pt>
                  <c:pt idx="4">
                    <c:v>Cookies</c:v>
                  </c:pt>
                  <c:pt idx="5">
                    <c:v>Syrup</c:v>
                  </c:pt>
                  <c:pt idx="6">
                    <c:v>Cookies</c:v>
                  </c:pt>
                  <c:pt idx="7">
                    <c:v>Snacks</c:v>
                  </c:pt>
                  <c:pt idx="8">
                    <c:v>Snacks</c:v>
                  </c:pt>
                  <c:pt idx="9">
                    <c:v>Snacks</c:v>
                  </c:pt>
                  <c:pt idx="10">
                    <c:v>Snacks</c:v>
                  </c:pt>
                  <c:pt idx="11">
                    <c:v>Snacks</c:v>
                  </c:pt>
                  <c:pt idx="12">
                    <c:v>Bars</c:v>
                  </c:pt>
                  <c:pt idx="13">
                    <c:v>Bars</c:v>
                  </c:pt>
                  <c:pt idx="14">
                    <c:v>Crackers</c:v>
                  </c:pt>
                  <c:pt idx="15">
                    <c:v>Snacks</c:v>
                  </c:pt>
                  <c:pt idx="16">
                    <c:v>Cookies</c:v>
                  </c:pt>
                  <c:pt idx="17">
                    <c:v>Cookies</c:v>
                  </c:pt>
                  <c:pt idx="18">
                    <c:v>Cookies</c:v>
                  </c:pt>
                </c:lvl>
                <c:lvl>
                  <c:pt idx="0">
                    <c:v>Kolkata</c:v>
                  </c:pt>
                  <c:pt idx="1">
                    <c:v>Patna</c:v>
                  </c:pt>
                  <c:pt idx="2">
                    <c:v>Sasaram</c:v>
                  </c:pt>
                  <c:pt idx="3">
                    <c:v>Sasaram</c:v>
                  </c:pt>
                  <c:pt idx="4">
                    <c:v>Sasaram</c:v>
                  </c:pt>
                  <c:pt idx="5">
                    <c:v>Sasaram</c:v>
                  </c:pt>
                  <c:pt idx="6">
                    <c:v>Varansi</c:v>
                  </c:pt>
                  <c:pt idx="7">
                    <c:v>Varansi</c:v>
                  </c:pt>
                  <c:pt idx="8">
                    <c:v>Varansi</c:v>
                  </c:pt>
                  <c:pt idx="9">
                    <c:v>Varansi</c:v>
                  </c:pt>
                  <c:pt idx="10">
                    <c:v>Kolkata</c:v>
                  </c:pt>
                  <c:pt idx="11">
                    <c:v>Kolkata</c:v>
                  </c:pt>
                  <c:pt idx="12">
                    <c:v>Sasaram</c:v>
                  </c:pt>
                  <c:pt idx="13">
                    <c:v>Sasaram</c:v>
                  </c:pt>
                  <c:pt idx="14">
                    <c:v>Sasaram</c:v>
                  </c:pt>
                  <c:pt idx="15">
                    <c:v>Sasaram</c:v>
                  </c:pt>
                  <c:pt idx="16">
                    <c:v>Sasaram</c:v>
                  </c:pt>
                  <c:pt idx="17">
                    <c:v>Kolkata</c:v>
                  </c:pt>
                  <c:pt idx="18">
                    <c:v>Kolkata</c:v>
                  </c:pt>
                </c:lvl>
                <c:lvl>
                  <c:pt idx="0">
                    <c:v>EAST</c:v>
                  </c:pt>
                  <c:pt idx="1">
                    <c:v>EAST</c:v>
                  </c:pt>
                  <c:pt idx="2">
                    <c:v>EAST</c:v>
                  </c:pt>
                  <c:pt idx="3">
                    <c:v>EAST</c:v>
                  </c:pt>
                  <c:pt idx="4">
                    <c:v>EAST</c:v>
                  </c:pt>
                  <c:pt idx="5">
                    <c:v>EAST</c:v>
                  </c:pt>
                  <c:pt idx="6">
                    <c:v>EAST</c:v>
                  </c:pt>
                  <c:pt idx="7">
                    <c:v>EAST</c:v>
                  </c:pt>
                  <c:pt idx="8">
                    <c:v>EAST</c:v>
                  </c:pt>
                  <c:pt idx="9">
                    <c:v>EAST</c:v>
                  </c:pt>
                  <c:pt idx="10">
                    <c:v>EAST</c:v>
                  </c:pt>
                  <c:pt idx="11">
                    <c:v>EAST</c:v>
                  </c:pt>
                  <c:pt idx="12">
                    <c:v>EAST</c:v>
                  </c:pt>
                  <c:pt idx="13">
                    <c:v>EAST</c:v>
                  </c:pt>
                  <c:pt idx="14">
                    <c:v>EAST</c:v>
                  </c:pt>
                  <c:pt idx="15">
                    <c:v>EAST</c:v>
                  </c:pt>
                  <c:pt idx="16">
                    <c:v>EAST</c:v>
                  </c:pt>
                  <c:pt idx="17">
                    <c:v>EAST</c:v>
                  </c:pt>
                  <c:pt idx="18">
                    <c:v>EAST</c:v>
                  </c:pt>
                </c:lvl>
              </c:multiLvlStrCache>
            </c:multiLvlStrRef>
          </c:cat>
          <c:val>
            <c:numRef>
              <c:f>Sheet4!$H$3:$H$21</c:f>
              <c:numCache>
                <c:formatCode>General</c:formatCode>
                <c:ptCount val="19"/>
                <c:pt idx="0">
                  <c:v>89</c:v>
                </c:pt>
                <c:pt idx="1">
                  <c:v>56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256</c:v>
                </c:pt>
                <c:pt idx="6">
                  <c:v>89</c:v>
                </c:pt>
                <c:pt idx="7">
                  <c:v>569</c:v>
                </c:pt>
                <c:pt idx="8">
                  <c:v>569</c:v>
                </c:pt>
                <c:pt idx="9">
                  <c:v>569</c:v>
                </c:pt>
                <c:pt idx="10">
                  <c:v>125</c:v>
                </c:pt>
                <c:pt idx="11">
                  <c:v>125</c:v>
                </c:pt>
                <c:pt idx="12">
                  <c:v>97</c:v>
                </c:pt>
                <c:pt idx="13">
                  <c:v>97</c:v>
                </c:pt>
                <c:pt idx="14">
                  <c:v>53</c:v>
                </c:pt>
                <c:pt idx="15">
                  <c:v>430</c:v>
                </c:pt>
                <c:pt idx="16">
                  <c:v>45</c:v>
                </c:pt>
                <c:pt idx="17">
                  <c:v>48</c:v>
                </c:pt>
                <c:pt idx="18">
                  <c:v>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9B4-4286-B196-85BDB786E674}"/>
            </c:ext>
          </c:extLst>
        </c:ser>
        <c:ser>
          <c:idx val="2"/>
          <c:order val="2"/>
          <c:explosion val="25"/>
          <c:cat>
            <c:multiLvlStrRef>
              <c:f>Sheet4!$C$3:$F$21</c:f>
              <c:multiLvlStrCache>
                <c:ptCount val="19"/>
                <c:lvl>
                  <c:pt idx="0">
                    <c:v>Carrot</c:v>
                  </c:pt>
                  <c:pt idx="1">
                    <c:v>Whole Wheat</c:v>
                  </c:pt>
                  <c:pt idx="2">
                    <c:v>Chocolate Candy</c:v>
                  </c:pt>
                  <c:pt idx="3">
                    <c:v>Chocolate Candy</c:v>
                  </c:pt>
                  <c:pt idx="4">
                    <c:v>Chocolate Candy</c:v>
                  </c:pt>
                  <c:pt idx="5">
                    <c:v>Sauce</c:v>
                  </c:pt>
                  <c:pt idx="6">
                    <c:v>Chocolate Candy</c:v>
                  </c:pt>
                  <c:pt idx="7">
                    <c:v>Potato Chips</c:v>
                  </c:pt>
                  <c:pt idx="8">
                    <c:v>Potato Chips</c:v>
                  </c:pt>
                  <c:pt idx="9">
                    <c:v>Potato Chips</c:v>
                  </c:pt>
                  <c:pt idx="10">
                    <c:v>Potato Chips</c:v>
                  </c:pt>
                  <c:pt idx="11">
                    <c:v>Potato Chips</c:v>
                  </c:pt>
                  <c:pt idx="12">
                    <c:v>Carrot</c:v>
                  </c:pt>
                  <c:pt idx="13">
                    <c:v>Carrot</c:v>
                  </c:pt>
                  <c:pt idx="14">
                    <c:v>Whole Wheat</c:v>
                  </c:pt>
                  <c:pt idx="15">
                    <c:v>Potato Chips</c:v>
                  </c:pt>
                  <c:pt idx="16">
                    <c:v>Chocolate Candy</c:v>
                  </c:pt>
                  <c:pt idx="17">
                    <c:v>Chocolate Candy</c:v>
                  </c:pt>
                  <c:pt idx="18">
                    <c:v>Chocolate Candy</c:v>
                  </c:pt>
                </c:lvl>
                <c:lvl>
                  <c:pt idx="0">
                    <c:v>Bars</c:v>
                  </c:pt>
                  <c:pt idx="1">
                    <c:v>Crackers</c:v>
                  </c:pt>
                  <c:pt idx="2">
                    <c:v>Cookies</c:v>
                  </c:pt>
                  <c:pt idx="3">
                    <c:v>Cookies</c:v>
                  </c:pt>
                  <c:pt idx="4">
                    <c:v>Cookies</c:v>
                  </c:pt>
                  <c:pt idx="5">
                    <c:v>Syrup</c:v>
                  </c:pt>
                  <c:pt idx="6">
                    <c:v>Cookies</c:v>
                  </c:pt>
                  <c:pt idx="7">
                    <c:v>Snacks</c:v>
                  </c:pt>
                  <c:pt idx="8">
                    <c:v>Snacks</c:v>
                  </c:pt>
                  <c:pt idx="9">
                    <c:v>Snacks</c:v>
                  </c:pt>
                  <c:pt idx="10">
                    <c:v>Snacks</c:v>
                  </c:pt>
                  <c:pt idx="11">
                    <c:v>Snacks</c:v>
                  </c:pt>
                  <c:pt idx="12">
                    <c:v>Bars</c:v>
                  </c:pt>
                  <c:pt idx="13">
                    <c:v>Bars</c:v>
                  </c:pt>
                  <c:pt idx="14">
                    <c:v>Crackers</c:v>
                  </c:pt>
                  <c:pt idx="15">
                    <c:v>Snacks</c:v>
                  </c:pt>
                  <c:pt idx="16">
                    <c:v>Cookies</c:v>
                  </c:pt>
                  <c:pt idx="17">
                    <c:v>Cookies</c:v>
                  </c:pt>
                  <c:pt idx="18">
                    <c:v>Cookies</c:v>
                  </c:pt>
                </c:lvl>
                <c:lvl>
                  <c:pt idx="0">
                    <c:v>Kolkata</c:v>
                  </c:pt>
                  <c:pt idx="1">
                    <c:v>Patna</c:v>
                  </c:pt>
                  <c:pt idx="2">
                    <c:v>Sasaram</c:v>
                  </c:pt>
                  <c:pt idx="3">
                    <c:v>Sasaram</c:v>
                  </c:pt>
                  <c:pt idx="4">
                    <c:v>Sasaram</c:v>
                  </c:pt>
                  <c:pt idx="5">
                    <c:v>Sasaram</c:v>
                  </c:pt>
                  <c:pt idx="6">
                    <c:v>Varansi</c:v>
                  </c:pt>
                  <c:pt idx="7">
                    <c:v>Varansi</c:v>
                  </c:pt>
                  <c:pt idx="8">
                    <c:v>Varansi</c:v>
                  </c:pt>
                  <c:pt idx="9">
                    <c:v>Varansi</c:v>
                  </c:pt>
                  <c:pt idx="10">
                    <c:v>Kolkata</c:v>
                  </c:pt>
                  <c:pt idx="11">
                    <c:v>Kolkata</c:v>
                  </c:pt>
                  <c:pt idx="12">
                    <c:v>Sasaram</c:v>
                  </c:pt>
                  <c:pt idx="13">
                    <c:v>Sasaram</c:v>
                  </c:pt>
                  <c:pt idx="14">
                    <c:v>Sasaram</c:v>
                  </c:pt>
                  <c:pt idx="15">
                    <c:v>Sasaram</c:v>
                  </c:pt>
                  <c:pt idx="16">
                    <c:v>Sasaram</c:v>
                  </c:pt>
                  <c:pt idx="17">
                    <c:v>Kolkata</c:v>
                  </c:pt>
                  <c:pt idx="18">
                    <c:v>Kolkata</c:v>
                  </c:pt>
                </c:lvl>
                <c:lvl>
                  <c:pt idx="0">
                    <c:v>EAST</c:v>
                  </c:pt>
                  <c:pt idx="1">
                    <c:v>EAST</c:v>
                  </c:pt>
                  <c:pt idx="2">
                    <c:v>EAST</c:v>
                  </c:pt>
                  <c:pt idx="3">
                    <c:v>EAST</c:v>
                  </c:pt>
                  <c:pt idx="4">
                    <c:v>EAST</c:v>
                  </c:pt>
                  <c:pt idx="5">
                    <c:v>EAST</c:v>
                  </c:pt>
                  <c:pt idx="6">
                    <c:v>EAST</c:v>
                  </c:pt>
                  <c:pt idx="7">
                    <c:v>EAST</c:v>
                  </c:pt>
                  <c:pt idx="8">
                    <c:v>EAST</c:v>
                  </c:pt>
                  <c:pt idx="9">
                    <c:v>EAST</c:v>
                  </c:pt>
                  <c:pt idx="10">
                    <c:v>EAST</c:v>
                  </c:pt>
                  <c:pt idx="11">
                    <c:v>EAST</c:v>
                  </c:pt>
                  <c:pt idx="12">
                    <c:v>EAST</c:v>
                  </c:pt>
                  <c:pt idx="13">
                    <c:v>EAST</c:v>
                  </c:pt>
                  <c:pt idx="14">
                    <c:v>EAST</c:v>
                  </c:pt>
                  <c:pt idx="15">
                    <c:v>EAST</c:v>
                  </c:pt>
                  <c:pt idx="16">
                    <c:v>EAST</c:v>
                  </c:pt>
                  <c:pt idx="17">
                    <c:v>EAST</c:v>
                  </c:pt>
                  <c:pt idx="18">
                    <c:v>EAST</c:v>
                  </c:pt>
                </c:lvl>
              </c:multiLvlStrCache>
            </c:multiLvlStrRef>
          </c:cat>
          <c:val>
            <c:numRef>
              <c:f>Sheet4!$I$3:$I$21</c:f>
              <c:numCache>
                <c:formatCode>General</c:formatCode>
                <c:ptCount val="19"/>
                <c:pt idx="0">
                  <c:v>2937</c:v>
                </c:pt>
                <c:pt idx="1">
                  <c:v>33544</c:v>
                </c:pt>
                <c:pt idx="2">
                  <c:v>18675</c:v>
                </c:pt>
                <c:pt idx="3">
                  <c:v>2025</c:v>
                </c:pt>
                <c:pt idx="4">
                  <c:v>249525</c:v>
                </c:pt>
                <c:pt idx="5">
                  <c:v>1429760</c:v>
                </c:pt>
                <c:pt idx="6">
                  <c:v>4262922</c:v>
                </c:pt>
                <c:pt idx="7">
                  <c:v>2517256</c:v>
                </c:pt>
                <c:pt idx="8">
                  <c:v>127456</c:v>
                </c:pt>
                <c:pt idx="9">
                  <c:v>258895</c:v>
                </c:pt>
                <c:pt idx="10">
                  <c:v>569500</c:v>
                </c:pt>
                <c:pt idx="11">
                  <c:v>517750</c:v>
                </c:pt>
                <c:pt idx="12">
                  <c:v>38412</c:v>
                </c:pt>
                <c:pt idx="13">
                  <c:v>956226</c:v>
                </c:pt>
                <c:pt idx="14">
                  <c:v>448115</c:v>
                </c:pt>
                <c:pt idx="15">
                  <c:v>2144410</c:v>
                </c:pt>
                <c:pt idx="16">
                  <c:v>4410</c:v>
                </c:pt>
                <c:pt idx="17">
                  <c:v>2191488</c:v>
                </c:pt>
                <c:pt idx="18">
                  <c:v>33024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9B4-4286-B196-85BDB786E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117476</xdr:colOff>
      <xdr:row>0</xdr:row>
      <xdr:rowOff>10583</xdr:rowOff>
    </xdr:from>
    <xdr:to>
      <xdr:col>1</xdr:col>
      <xdr:colOff>179916</xdr:colOff>
      <xdr:row>0</xdr:row>
      <xdr:rowOff>391583</xdr:rowOff>
    </xdr:to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76" y="10583"/>
          <a:ext cx="676273" cy="38100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148627</xdr:colOff>
      <xdr:row>0</xdr:row>
      <xdr:rowOff>142875</xdr:rowOff>
    </xdr:from>
    <xdr:to>
      <xdr:col>3</xdr:col>
      <xdr:colOff>488157</xdr:colOff>
      <xdr:row>3</xdr:row>
      <xdr:rowOff>464343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627" y="142875"/>
          <a:ext cx="2161186" cy="892968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11</xdr:row>
      <xdr:rowOff>19050</xdr:rowOff>
    </xdr:from>
    <xdr:to>
      <xdr:col>8</xdr:col>
      <xdr:colOff>581025</xdr:colOff>
      <xdr:row>23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19050</xdr:colOff>
      <xdr:row>0</xdr:row>
      <xdr:rowOff>66676</xdr:rowOff>
    </xdr:from>
    <xdr:to>
      <xdr:col>5</xdr:col>
      <xdr:colOff>304800</xdr:colOff>
      <xdr:row>0</xdr:row>
      <xdr:rowOff>962026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66676"/>
          <a:ext cx="895350" cy="89535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109536</xdr:colOff>
      <xdr:row>22</xdr:row>
      <xdr:rowOff>66674</xdr:rowOff>
    </xdr:from>
    <xdr:to>
      <xdr:col>8</xdr:col>
      <xdr:colOff>847724</xdr:colOff>
      <xdr:row>36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J43" totalsRowShown="0" headerRowDxfId="12" headerRowBorderDxfId="11" tableBorderDxfId="10" headerRowCellStyle="Neutral">
  <autoFilter ref="A2:J43"/>
  <tableColumns count="10">
    <tableColumn id="1" name="Column1" dataDxfId="9"/>
    <tableColumn id="2" name="Column2" dataDxfId="8"/>
    <tableColumn id="3" name="Column3" dataDxfId="7"/>
    <tableColumn id="4" name="Column4" dataDxfId="6" dataCellStyle="Input"/>
    <tableColumn id="5" name="Column5" dataDxfId="5"/>
    <tableColumn id="6" name="Column6" dataDxfId="4"/>
    <tableColumn id="7" name="Column7" dataDxfId="3"/>
    <tableColumn id="8" name="Column8" dataDxfId="2"/>
    <tableColumn id="9" name="Column9" dataDxfId="1"/>
    <tableColumn id="10" name="Column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zoomScaleNormal="100" workbookViewId="0">
      <selection activeCell="E11" sqref="E11"/>
    </sheetView>
  </sheetViews>
  <sheetFormatPr defaultRowHeight="15" x14ac:dyDescent="0.25"/>
  <cols>
    <col min="1" max="1" width="10.85546875" customWidth="1"/>
    <col min="2" max="2" width="21.140625" customWidth="1"/>
    <col min="3" max="3" width="10.7109375" customWidth="1"/>
    <col min="4" max="4" width="11.5703125" customWidth="1"/>
    <col min="5" max="5" width="22.28515625" customWidth="1"/>
    <col min="6" max="6" width="12.42578125" customWidth="1"/>
  </cols>
  <sheetData>
    <row r="2" spans="1:8" ht="18.75" x14ac:dyDescent="0.3">
      <c r="A2" s="49" t="s">
        <v>60</v>
      </c>
      <c r="B2" s="49"/>
      <c r="C2" s="49"/>
      <c r="D2" s="49"/>
      <c r="E2" s="49"/>
      <c r="F2" s="49"/>
    </row>
    <row r="3" spans="1:8" x14ac:dyDescent="0.25">
      <c r="A3" s="50" t="s">
        <v>0</v>
      </c>
      <c r="B3" s="50"/>
      <c r="C3" s="50"/>
      <c r="D3" s="50"/>
      <c r="E3" s="52" t="s">
        <v>1</v>
      </c>
      <c r="F3" s="52"/>
      <c r="H3" s="11"/>
    </row>
    <row r="4" spans="1:8" x14ac:dyDescent="0.25">
      <c r="A4" s="6" t="s">
        <v>2</v>
      </c>
      <c r="B4" s="6" t="s">
        <v>3</v>
      </c>
      <c r="C4" s="6" t="s">
        <v>4</v>
      </c>
      <c r="D4" s="6" t="s">
        <v>2</v>
      </c>
      <c r="E4" s="6" t="s">
        <v>3</v>
      </c>
      <c r="F4" s="6" t="s">
        <v>4</v>
      </c>
    </row>
    <row r="5" spans="1:8" x14ac:dyDescent="0.25">
      <c r="A5" s="8">
        <v>45661</v>
      </c>
      <c r="B5" s="1" t="s">
        <v>8</v>
      </c>
      <c r="C5" s="1">
        <v>46576</v>
      </c>
      <c r="D5" s="8">
        <v>45661</v>
      </c>
      <c r="E5" s="1" t="s">
        <v>5</v>
      </c>
      <c r="F5" s="1">
        <v>2798000</v>
      </c>
    </row>
    <row r="6" spans="1:8" x14ac:dyDescent="0.25">
      <c r="A6" s="8">
        <v>45661</v>
      </c>
      <c r="B6" s="1" t="s">
        <v>7</v>
      </c>
      <c r="C6" s="1">
        <v>4765768</v>
      </c>
      <c r="D6" s="8">
        <v>45661</v>
      </c>
      <c r="E6" s="1" t="s">
        <v>9</v>
      </c>
      <c r="F6" s="1">
        <v>1223998</v>
      </c>
    </row>
    <row r="7" spans="1:8" x14ac:dyDescent="0.25">
      <c r="A7" s="8">
        <v>45661</v>
      </c>
      <c r="B7" s="1" t="s">
        <v>6</v>
      </c>
      <c r="C7" s="3">
        <v>68654657</v>
      </c>
      <c r="D7" s="8">
        <v>45661</v>
      </c>
      <c r="E7" s="1" t="s">
        <v>10</v>
      </c>
      <c r="F7" s="3">
        <v>12000</v>
      </c>
    </row>
    <row r="8" spans="1:8" x14ac:dyDescent="0.25">
      <c r="A8" s="8">
        <v>45692</v>
      </c>
      <c r="B8" s="1" t="s">
        <v>11</v>
      </c>
      <c r="C8" s="4">
        <v>76878</v>
      </c>
      <c r="D8" s="8">
        <v>45692</v>
      </c>
      <c r="E8" s="1" t="s">
        <v>12</v>
      </c>
      <c r="F8" s="7">
        <v>457765</v>
      </c>
    </row>
    <row r="9" spans="1:8" x14ac:dyDescent="0.25">
      <c r="A9" s="8">
        <v>45692</v>
      </c>
      <c r="B9" s="1" t="s">
        <v>14</v>
      </c>
      <c r="C9" s="4">
        <v>787</v>
      </c>
      <c r="D9" s="8">
        <v>45692</v>
      </c>
      <c r="E9" s="1" t="s">
        <v>13</v>
      </c>
      <c r="F9" s="7">
        <v>576878</v>
      </c>
    </row>
    <row r="10" spans="1:8" x14ac:dyDescent="0.25">
      <c r="A10" s="51" t="s">
        <v>15</v>
      </c>
      <c r="B10" s="51"/>
      <c r="C10" s="2">
        <f>SUM(C5:C9)</f>
        <v>73544666</v>
      </c>
      <c r="D10" s="51" t="s">
        <v>15</v>
      </c>
      <c r="E10" s="51"/>
      <c r="F10" s="2">
        <f>SUM(F5:F9)</f>
        <v>5068641</v>
      </c>
    </row>
    <row r="13" spans="1:8" x14ac:dyDescent="0.25">
      <c r="E13" s="5"/>
    </row>
    <row r="17" spans="5:5" x14ac:dyDescent="0.25">
      <c r="E17" s="12"/>
    </row>
  </sheetData>
  <mergeCells count="5">
    <mergeCell ref="A2:F2"/>
    <mergeCell ref="A3:D3"/>
    <mergeCell ref="A10:B10"/>
    <mergeCell ref="D10:E10"/>
    <mergeCell ref="E3:F3"/>
  </mergeCells>
  <conditionalFormatting sqref="C5:C9">
    <cfRule type="cellIs" dxfId="14" priority="2" operator="greaterThan">
      <formula>600000</formula>
    </cfRule>
  </conditionalFormatting>
  <conditionalFormatting sqref="F5:F9">
    <cfRule type="cellIs" dxfId="13" priority="1" operator="greaterThan">
      <formula>900000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"/>
  <sheetViews>
    <sheetView zoomScale="90" zoomScaleNormal="90" workbookViewId="0">
      <selection activeCell="AF6" sqref="AF6"/>
    </sheetView>
  </sheetViews>
  <sheetFormatPr defaultRowHeight="15" x14ac:dyDescent="0.25"/>
  <cols>
    <col min="3" max="3" width="3.5703125" customWidth="1"/>
    <col min="4" max="4" width="3.140625" customWidth="1"/>
    <col min="5" max="5" width="2.7109375" customWidth="1"/>
    <col min="6" max="7" width="2.85546875" customWidth="1"/>
    <col min="8" max="8" width="3.140625" customWidth="1"/>
    <col min="9" max="10" width="2.7109375" customWidth="1"/>
    <col min="11" max="29" width="3" customWidth="1"/>
    <col min="30" max="30" width="10.140625" customWidth="1"/>
  </cols>
  <sheetData>
    <row r="1" spans="1:30" ht="31.5" x14ac:dyDescent="0.5">
      <c r="A1" s="54" t="s">
        <v>16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6"/>
    </row>
    <row r="2" spans="1:30" ht="23.25" x14ac:dyDescent="0.35">
      <c r="A2" s="53" t="s">
        <v>17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1"/>
    </row>
    <row r="3" spans="1:30" ht="18.75" x14ac:dyDescent="0.3">
      <c r="A3" s="49" t="s">
        <v>18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1"/>
    </row>
    <row r="4" spans="1:30" ht="15.75" x14ac:dyDescent="0.25">
      <c r="A4" s="9" t="s">
        <v>19</v>
      </c>
      <c r="B4" s="9"/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15</v>
      </c>
      <c r="P4" s="1">
        <v>16</v>
      </c>
      <c r="Q4" s="1">
        <v>17</v>
      </c>
      <c r="R4" s="1">
        <v>18</v>
      </c>
      <c r="S4" s="1">
        <v>19</v>
      </c>
      <c r="T4" s="1">
        <v>20</v>
      </c>
      <c r="U4" s="1">
        <v>22</v>
      </c>
      <c r="V4" s="1">
        <v>23</v>
      </c>
      <c r="W4" s="1">
        <v>24</v>
      </c>
      <c r="X4" s="1">
        <v>25</v>
      </c>
      <c r="Y4" s="1">
        <v>26</v>
      </c>
      <c r="Z4" s="1">
        <v>27</v>
      </c>
      <c r="AA4" s="1">
        <v>29</v>
      </c>
      <c r="AB4" s="1">
        <v>30</v>
      </c>
      <c r="AC4" s="1">
        <v>31</v>
      </c>
      <c r="AD4" s="16" t="s">
        <v>199</v>
      </c>
    </row>
    <row r="5" spans="1:30" ht="15" customHeight="1" x14ac:dyDescent="0.25">
      <c r="A5" s="1" t="s">
        <v>20</v>
      </c>
      <c r="B5" s="1"/>
      <c r="C5" s="1" t="s">
        <v>197</v>
      </c>
      <c r="D5" s="1" t="s">
        <v>198</v>
      </c>
      <c r="E5" s="1" t="s">
        <v>198</v>
      </c>
      <c r="F5" s="1" t="s">
        <v>196</v>
      </c>
      <c r="G5" s="1" t="s">
        <v>198</v>
      </c>
      <c r="H5" s="1" t="s">
        <v>196</v>
      </c>
      <c r="I5" s="1" t="s">
        <v>198</v>
      </c>
      <c r="J5" s="1" t="s">
        <v>198</v>
      </c>
      <c r="K5" s="1" t="s">
        <v>198</v>
      </c>
      <c r="L5" s="1" t="s">
        <v>198</v>
      </c>
      <c r="M5" s="1" t="s">
        <v>198</v>
      </c>
      <c r="N5" s="1" t="s">
        <v>198</v>
      </c>
      <c r="O5" s="1" t="s">
        <v>198</v>
      </c>
      <c r="P5" s="1" t="s">
        <v>198</v>
      </c>
      <c r="Q5" s="1" t="s">
        <v>198</v>
      </c>
      <c r="R5" s="1" t="s">
        <v>198</v>
      </c>
      <c r="S5" s="1" t="s">
        <v>198</v>
      </c>
      <c r="T5" s="1" t="s">
        <v>198</v>
      </c>
      <c r="U5" s="1" t="s">
        <v>198</v>
      </c>
      <c r="V5" s="1" t="s">
        <v>198</v>
      </c>
      <c r="W5" s="1" t="s">
        <v>196</v>
      </c>
      <c r="X5" s="1" t="s">
        <v>198</v>
      </c>
      <c r="Y5" s="1" t="s">
        <v>196</v>
      </c>
      <c r="Z5" s="1" t="s">
        <v>198</v>
      </c>
      <c r="AA5" s="1" t="s">
        <v>196</v>
      </c>
      <c r="AB5" s="1" t="s">
        <v>198</v>
      </c>
      <c r="AC5" s="1" t="s">
        <v>198</v>
      </c>
      <c r="AD5" s="1">
        <f>COUNTIF(C5:AC5,"A")</f>
        <v>5</v>
      </c>
    </row>
    <row r="6" spans="1:30" x14ac:dyDescent="0.25">
      <c r="A6" s="1" t="s">
        <v>21</v>
      </c>
      <c r="B6" s="1"/>
      <c r="C6" s="1" t="s">
        <v>197</v>
      </c>
      <c r="D6" s="1" t="s">
        <v>198</v>
      </c>
      <c r="E6" s="1" t="s">
        <v>196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196</v>
      </c>
      <c r="K6" s="1" t="s">
        <v>198</v>
      </c>
      <c r="L6" s="1" t="s">
        <v>196</v>
      </c>
      <c r="M6" s="1" t="s">
        <v>198</v>
      </c>
      <c r="N6" s="1" t="s">
        <v>198</v>
      </c>
      <c r="O6" s="1" t="s">
        <v>196</v>
      </c>
      <c r="P6" s="1" t="s">
        <v>198</v>
      </c>
      <c r="Q6" s="1" t="s">
        <v>198</v>
      </c>
      <c r="R6" s="1" t="s">
        <v>198</v>
      </c>
      <c r="S6" s="1" t="s">
        <v>196</v>
      </c>
      <c r="T6" s="1" t="s">
        <v>196</v>
      </c>
      <c r="U6" s="1" t="s">
        <v>198</v>
      </c>
      <c r="V6" s="1" t="s">
        <v>196</v>
      </c>
      <c r="W6" s="1" t="s">
        <v>198</v>
      </c>
      <c r="X6" s="1" t="s">
        <v>198</v>
      </c>
      <c r="Y6" s="1" t="s">
        <v>198</v>
      </c>
      <c r="Z6" s="1" t="s">
        <v>198</v>
      </c>
      <c r="AA6" s="1" t="s">
        <v>198</v>
      </c>
      <c r="AB6" s="1" t="s">
        <v>196</v>
      </c>
      <c r="AC6" s="1" t="s">
        <v>198</v>
      </c>
      <c r="AD6" s="1">
        <f t="shared" ref="AD6:AD20" si="0">COUNTIF(C6:AC6,"A")</f>
        <v>8</v>
      </c>
    </row>
    <row r="7" spans="1:30" x14ac:dyDescent="0.25">
      <c r="A7" s="1" t="s">
        <v>22</v>
      </c>
      <c r="B7" s="1"/>
      <c r="C7" s="1" t="s">
        <v>197</v>
      </c>
      <c r="D7" s="1" t="s">
        <v>198</v>
      </c>
      <c r="E7" s="1" t="s">
        <v>198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198</v>
      </c>
      <c r="M7" s="1" t="s">
        <v>198</v>
      </c>
      <c r="N7" s="1" t="s">
        <v>198</v>
      </c>
      <c r="O7" s="1" t="s">
        <v>198</v>
      </c>
      <c r="P7" s="1" t="s">
        <v>198</v>
      </c>
      <c r="Q7" s="1" t="s">
        <v>198</v>
      </c>
      <c r="R7" s="1" t="s">
        <v>198</v>
      </c>
      <c r="S7" s="1" t="s">
        <v>198</v>
      </c>
      <c r="T7" s="1" t="s">
        <v>198</v>
      </c>
      <c r="U7" s="1" t="s">
        <v>198</v>
      </c>
      <c r="V7" s="1" t="s">
        <v>198</v>
      </c>
      <c r="W7" s="1" t="s">
        <v>198</v>
      </c>
      <c r="X7" s="1" t="s">
        <v>198</v>
      </c>
      <c r="Y7" s="1" t="s">
        <v>198</v>
      </c>
      <c r="Z7" s="1" t="s">
        <v>198</v>
      </c>
      <c r="AA7" s="1" t="s">
        <v>198</v>
      </c>
      <c r="AB7" s="1" t="s">
        <v>198</v>
      </c>
      <c r="AC7" s="1" t="s">
        <v>198</v>
      </c>
      <c r="AD7" s="1">
        <f t="shared" si="0"/>
        <v>0</v>
      </c>
    </row>
    <row r="8" spans="1:30" x14ac:dyDescent="0.25">
      <c r="A8" s="1" t="s">
        <v>23</v>
      </c>
      <c r="B8" s="1"/>
      <c r="C8" s="1" t="s">
        <v>197</v>
      </c>
      <c r="D8" s="1" t="s">
        <v>198</v>
      </c>
      <c r="E8" s="1" t="s">
        <v>196</v>
      </c>
      <c r="F8" s="1" t="s">
        <v>198</v>
      </c>
      <c r="G8" s="1" t="s">
        <v>198</v>
      </c>
      <c r="H8" s="1" t="s">
        <v>196</v>
      </c>
      <c r="I8" s="1" t="s">
        <v>196</v>
      </c>
      <c r="J8" s="1" t="s">
        <v>196</v>
      </c>
      <c r="K8" s="1" t="s">
        <v>196</v>
      </c>
      <c r="L8" s="1" t="s">
        <v>196</v>
      </c>
      <c r="M8" s="1" t="s">
        <v>198</v>
      </c>
      <c r="N8" s="1" t="s">
        <v>196</v>
      </c>
      <c r="O8" s="1" t="s">
        <v>198</v>
      </c>
      <c r="P8" s="1" t="s">
        <v>198</v>
      </c>
      <c r="Q8" s="1" t="s">
        <v>196</v>
      </c>
      <c r="R8" s="1" t="s">
        <v>196</v>
      </c>
      <c r="S8" s="1" t="s">
        <v>198</v>
      </c>
      <c r="T8" s="1" t="s">
        <v>198</v>
      </c>
      <c r="U8" s="1" t="s">
        <v>198</v>
      </c>
      <c r="V8" s="1" t="s">
        <v>196</v>
      </c>
      <c r="W8" s="1" t="s">
        <v>198</v>
      </c>
      <c r="X8" s="1" t="s">
        <v>196</v>
      </c>
      <c r="Y8" s="1" t="s">
        <v>198</v>
      </c>
      <c r="Z8" s="1" t="s">
        <v>198</v>
      </c>
      <c r="AA8" s="1" t="s">
        <v>198</v>
      </c>
      <c r="AB8" s="1" t="s">
        <v>198</v>
      </c>
      <c r="AC8" s="1" t="s">
        <v>198</v>
      </c>
      <c r="AD8" s="1">
        <f t="shared" si="0"/>
        <v>11</v>
      </c>
    </row>
    <row r="9" spans="1:30" x14ac:dyDescent="0.25">
      <c r="A9" s="1" t="s">
        <v>24</v>
      </c>
      <c r="B9" s="1"/>
      <c r="C9" s="1" t="s">
        <v>196</v>
      </c>
      <c r="D9" s="1" t="s">
        <v>198</v>
      </c>
      <c r="E9" s="1" t="s">
        <v>198</v>
      </c>
      <c r="F9" s="1" t="s">
        <v>198</v>
      </c>
      <c r="G9" s="1" t="s">
        <v>198</v>
      </c>
      <c r="H9" s="1" t="s">
        <v>196</v>
      </c>
      <c r="I9" s="1" t="s">
        <v>198</v>
      </c>
      <c r="J9" s="1" t="s">
        <v>198</v>
      </c>
      <c r="K9" s="1" t="s">
        <v>198</v>
      </c>
      <c r="L9" s="1" t="s">
        <v>196</v>
      </c>
      <c r="M9" s="1" t="s">
        <v>198</v>
      </c>
      <c r="N9" s="1" t="s">
        <v>198</v>
      </c>
      <c r="O9" s="1" t="s">
        <v>198</v>
      </c>
      <c r="P9" s="1" t="s">
        <v>196</v>
      </c>
      <c r="Q9" s="1" t="s">
        <v>196</v>
      </c>
      <c r="R9" s="1" t="s">
        <v>198</v>
      </c>
      <c r="S9" s="1" t="s">
        <v>198</v>
      </c>
      <c r="T9" s="1" t="s">
        <v>198</v>
      </c>
      <c r="U9" s="1" t="s">
        <v>198</v>
      </c>
      <c r="V9" s="1" t="s">
        <v>196</v>
      </c>
      <c r="W9" s="1" t="s">
        <v>196</v>
      </c>
      <c r="X9" s="1" t="s">
        <v>198</v>
      </c>
      <c r="Y9" s="1" t="s">
        <v>198</v>
      </c>
      <c r="Z9" s="1" t="s">
        <v>198</v>
      </c>
      <c r="AA9" s="1" t="s">
        <v>198</v>
      </c>
      <c r="AB9" s="1" t="s">
        <v>198</v>
      </c>
      <c r="AC9" s="1" t="s">
        <v>198</v>
      </c>
      <c r="AD9" s="1">
        <f t="shared" si="0"/>
        <v>7</v>
      </c>
    </row>
    <row r="10" spans="1:30" x14ac:dyDescent="0.25">
      <c r="A10" s="1" t="s">
        <v>25</v>
      </c>
      <c r="B10" s="1"/>
      <c r="C10" s="1" t="s">
        <v>196</v>
      </c>
      <c r="D10" s="1" t="s">
        <v>196</v>
      </c>
      <c r="E10" s="1" t="s">
        <v>196</v>
      </c>
      <c r="F10" s="1" t="s">
        <v>196</v>
      </c>
      <c r="G10" s="1" t="s">
        <v>196</v>
      </c>
      <c r="H10" s="1" t="s">
        <v>196</v>
      </c>
      <c r="I10" s="1" t="s">
        <v>196</v>
      </c>
      <c r="J10" s="1" t="s">
        <v>196</v>
      </c>
      <c r="K10" s="1" t="s">
        <v>196</v>
      </c>
      <c r="L10" s="1" t="s">
        <v>196</v>
      </c>
      <c r="M10" s="1" t="s">
        <v>196</v>
      </c>
      <c r="N10" s="1" t="s">
        <v>196</v>
      </c>
      <c r="O10" s="1" t="s">
        <v>196</v>
      </c>
      <c r="P10" s="1" t="s">
        <v>196</v>
      </c>
      <c r="Q10" s="1" t="s">
        <v>196</v>
      </c>
      <c r="R10" s="1" t="s">
        <v>196</v>
      </c>
      <c r="S10" s="1" t="s">
        <v>196</v>
      </c>
      <c r="T10" s="1" t="s">
        <v>196</v>
      </c>
      <c r="U10" s="1" t="s">
        <v>198</v>
      </c>
      <c r="V10" s="1" t="s">
        <v>196</v>
      </c>
      <c r="W10" s="1" t="s">
        <v>196</v>
      </c>
      <c r="X10" s="1" t="s">
        <v>196</v>
      </c>
      <c r="Y10" s="1" t="s">
        <v>196</v>
      </c>
      <c r="Z10" s="1" t="s">
        <v>196</v>
      </c>
      <c r="AA10" s="1" t="s">
        <v>196</v>
      </c>
      <c r="AB10" s="1" t="s">
        <v>196</v>
      </c>
      <c r="AC10" s="1" t="s">
        <v>198</v>
      </c>
      <c r="AD10" s="1">
        <f t="shared" si="0"/>
        <v>25</v>
      </c>
    </row>
    <row r="11" spans="1:30" x14ac:dyDescent="0.25">
      <c r="A11" s="1" t="s">
        <v>26</v>
      </c>
      <c r="B11" s="1"/>
      <c r="C11" s="1" t="s">
        <v>197</v>
      </c>
      <c r="D11" s="1" t="s">
        <v>198</v>
      </c>
      <c r="E11" s="1" t="s">
        <v>198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198</v>
      </c>
      <c r="M11" s="1" t="s">
        <v>198</v>
      </c>
      <c r="N11" s="1" t="s">
        <v>198</v>
      </c>
      <c r="O11" s="1" t="s">
        <v>198</v>
      </c>
      <c r="P11" s="1" t="s">
        <v>198</v>
      </c>
      <c r="Q11" s="1" t="s">
        <v>198</v>
      </c>
      <c r="R11" s="1" t="s">
        <v>198</v>
      </c>
      <c r="S11" s="1" t="s">
        <v>198</v>
      </c>
      <c r="T11" s="1" t="s">
        <v>198</v>
      </c>
      <c r="U11" s="1" t="s">
        <v>198</v>
      </c>
      <c r="V11" s="1" t="s">
        <v>198</v>
      </c>
      <c r="W11" s="1" t="s">
        <v>198</v>
      </c>
      <c r="X11" s="1" t="s">
        <v>198</v>
      </c>
      <c r="Y11" s="1" t="s">
        <v>198</v>
      </c>
      <c r="Z11" s="1" t="s">
        <v>198</v>
      </c>
      <c r="AA11" s="1" t="s">
        <v>198</v>
      </c>
      <c r="AB11" s="1" t="s">
        <v>198</v>
      </c>
      <c r="AC11" s="1" t="s">
        <v>198</v>
      </c>
      <c r="AD11" s="1">
        <f t="shared" si="0"/>
        <v>0</v>
      </c>
    </row>
    <row r="12" spans="1:30" x14ac:dyDescent="0.25">
      <c r="A12" s="1" t="s">
        <v>27</v>
      </c>
      <c r="B12" s="1"/>
      <c r="C12" s="1" t="s">
        <v>196</v>
      </c>
      <c r="D12" s="1" t="s">
        <v>198</v>
      </c>
      <c r="E12" s="1" t="s">
        <v>196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196</v>
      </c>
      <c r="K12" s="1" t="s">
        <v>198</v>
      </c>
      <c r="L12" s="1" t="s">
        <v>198</v>
      </c>
      <c r="M12" s="1" t="s">
        <v>198</v>
      </c>
      <c r="N12" s="1" t="s">
        <v>196</v>
      </c>
      <c r="O12" s="1" t="s">
        <v>198</v>
      </c>
      <c r="P12" s="1" t="s">
        <v>196</v>
      </c>
      <c r="Q12" s="1" t="s">
        <v>198</v>
      </c>
      <c r="R12" s="1" t="s">
        <v>196</v>
      </c>
      <c r="S12" s="1" t="s">
        <v>198</v>
      </c>
      <c r="T12" s="1" t="s">
        <v>198</v>
      </c>
      <c r="U12" s="1" t="s">
        <v>198</v>
      </c>
      <c r="V12" s="1" t="s">
        <v>198</v>
      </c>
      <c r="W12" s="1" t="s">
        <v>198</v>
      </c>
      <c r="X12" s="1" t="s">
        <v>198</v>
      </c>
      <c r="Y12" s="1" t="s">
        <v>198</v>
      </c>
      <c r="Z12" s="1" t="s">
        <v>198</v>
      </c>
      <c r="AA12" s="1" t="s">
        <v>196</v>
      </c>
      <c r="AB12" s="1" t="s">
        <v>196</v>
      </c>
      <c r="AC12" s="1" t="s">
        <v>198</v>
      </c>
      <c r="AD12" s="1">
        <f t="shared" si="0"/>
        <v>8</v>
      </c>
    </row>
    <row r="13" spans="1:30" x14ac:dyDescent="0.25">
      <c r="A13" s="1" t="s">
        <v>28</v>
      </c>
      <c r="B13" s="1"/>
      <c r="C13" s="1" t="s">
        <v>196</v>
      </c>
      <c r="D13" s="1" t="s">
        <v>198</v>
      </c>
      <c r="E13" s="1" t="s">
        <v>198</v>
      </c>
      <c r="F13" s="1" t="s">
        <v>198</v>
      </c>
      <c r="G13" s="1" t="s">
        <v>198</v>
      </c>
      <c r="H13" s="1" t="s">
        <v>198</v>
      </c>
      <c r="I13" s="1" t="s">
        <v>196</v>
      </c>
      <c r="J13" s="1" t="s">
        <v>198</v>
      </c>
      <c r="K13" s="1" t="s">
        <v>198</v>
      </c>
      <c r="L13" s="1" t="s">
        <v>196</v>
      </c>
      <c r="M13" s="1" t="s">
        <v>198</v>
      </c>
      <c r="N13" s="1" t="s">
        <v>198</v>
      </c>
      <c r="O13" s="1" t="s">
        <v>196</v>
      </c>
      <c r="P13" s="1" t="s">
        <v>198</v>
      </c>
      <c r="Q13" s="1" t="s">
        <v>198</v>
      </c>
      <c r="R13" s="1" t="s">
        <v>198</v>
      </c>
      <c r="S13" s="1" t="s">
        <v>198</v>
      </c>
      <c r="T13" s="1" t="s">
        <v>198</v>
      </c>
      <c r="U13" s="1" t="s">
        <v>196</v>
      </c>
      <c r="V13" s="1" t="s">
        <v>196</v>
      </c>
      <c r="W13" s="1" t="s">
        <v>198</v>
      </c>
      <c r="X13" s="1" t="s">
        <v>198</v>
      </c>
      <c r="Y13" s="1" t="s">
        <v>198</v>
      </c>
      <c r="Z13" s="1" t="s">
        <v>198</v>
      </c>
      <c r="AA13" s="1" t="s">
        <v>196</v>
      </c>
      <c r="AB13" s="1" t="s">
        <v>196</v>
      </c>
      <c r="AC13" s="1" t="s">
        <v>196</v>
      </c>
      <c r="AD13" s="1">
        <f t="shared" si="0"/>
        <v>9</v>
      </c>
    </row>
    <row r="14" spans="1:30" x14ac:dyDescent="0.25">
      <c r="A14" s="1" t="s">
        <v>29</v>
      </c>
      <c r="B14" s="1"/>
      <c r="C14" s="1" t="s">
        <v>197</v>
      </c>
      <c r="D14" s="1" t="s">
        <v>198</v>
      </c>
      <c r="E14" s="1" t="s">
        <v>198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198</v>
      </c>
      <c r="M14" s="1" t="s">
        <v>198</v>
      </c>
      <c r="N14" s="1" t="s">
        <v>198</v>
      </c>
      <c r="O14" s="1" t="s">
        <v>198</v>
      </c>
      <c r="P14" s="1" t="s">
        <v>198</v>
      </c>
      <c r="Q14" s="1" t="s">
        <v>198</v>
      </c>
      <c r="R14" s="1" t="s">
        <v>198</v>
      </c>
      <c r="S14" s="1" t="s">
        <v>198</v>
      </c>
      <c r="T14" s="1" t="s">
        <v>198</v>
      </c>
      <c r="U14" s="1" t="s">
        <v>198</v>
      </c>
      <c r="V14" s="1" t="s">
        <v>198</v>
      </c>
      <c r="W14" s="1" t="s">
        <v>198</v>
      </c>
      <c r="X14" s="1" t="s">
        <v>198</v>
      </c>
      <c r="Y14" s="1" t="s">
        <v>198</v>
      </c>
      <c r="Z14" s="1" t="s">
        <v>198</v>
      </c>
      <c r="AA14" s="1" t="s">
        <v>196</v>
      </c>
      <c r="AB14" s="1" t="s">
        <v>198</v>
      </c>
      <c r="AC14" s="1" t="s">
        <v>196</v>
      </c>
      <c r="AD14" s="1">
        <f t="shared" si="0"/>
        <v>2</v>
      </c>
    </row>
    <row r="15" spans="1:30" x14ac:dyDescent="0.25">
      <c r="A15" s="1" t="s">
        <v>30</v>
      </c>
      <c r="B15" s="1"/>
      <c r="C15" s="1" t="s">
        <v>196</v>
      </c>
      <c r="D15" s="1" t="s">
        <v>198</v>
      </c>
      <c r="E15" s="1" t="s">
        <v>198</v>
      </c>
      <c r="F15" s="1" t="s">
        <v>196</v>
      </c>
      <c r="G15" s="1" t="s">
        <v>198</v>
      </c>
      <c r="H15" s="1" t="s">
        <v>198</v>
      </c>
      <c r="I15" s="1" t="s">
        <v>196</v>
      </c>
      <c r="J15" s="1" t="s">
        <v>196</v>
      </c>
      <c r="K15" s="1" t="s">
        <v>198</v>
      </c>
      <c r="L15" s="1" t="s">
        <v>196</v>
      </c>
      <c r="M15" s="1" t="s">
        <v>198</v>
      </c>
      <c r="N15" s="1" t="s">
        <v>198</v>
      </c>
      <c r="O15" s="1" t="s">
        <v>196</v>
      </c>
      <c r="P15" s="1" t="s">
        <v>198</v>
      </c>
      <c r="Q15" s="1" t="s">
        <v>198</v>
      </c>
      <c r="R15" s="1" t="s">
        <v>198</v>
      </c>
      <c r="S15" s="1" t="s">
        <v>198</v>
      </c>
      <c r="T15" s="1" t="s">
        <v>198</v>
      </c>
      <c r="U15" s="1" t="s">
        <v>198</v>
      </c>
      <c r="V15" s="1" t="s">
        <v>198</v>
      </c>
      <c r="W15" s="1" t="s">
        <v>198</v>
      </c>
      <c r="X15" s="1" t="s">
        <v>198</v>
      </c>
      <c r="Y15" s="1" t="s">
        <v>198</v>
      </c>
      <c r="Z15" s="1" t="s">
        <v>198</v>
      </c>
      <c r="AA15" s="1" t="s">
        <v>198</v>
      </c>
      <c r="AB15" s="1" t="s">
        <v>198</v>
      </c>
      <c r="AC15" s="1" t="s">
        <v>198</v>
      </c>
      <c r="AD15" s="1">
        <f t="shared" si="0"/>
        <v>6</v>
      </c>
    </row>
    <row r="16" spans="1:30" x14ac:dyDescent="0.25">
      <c r="A16" s="1" t="s">
        <v>31</v>
      </c>
      <c r="B16" s="1"/>
      <c r="C16" s="1" t="s">
        <v>198</v>
      </c>
      <c r="D16" s="1" t="s">
        <v>198</v>
      </c>
      <c r="E16" s="1" t="s">
        <v>196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198</v>
      </c>
      <c r="M16" s="1" t="s">
        <v>198</v>
      </c>
      <c r="N16" s="1" t="s">
        <v>198</v>
      </c>
      <c r="O16" s="1" t="s">
        <v>196</v>
      </c>
      <c r="P16" s="1" t="s">
        <v>196</v>
      </c>
      <c r="Q16" s="1" t="s">
        <v>198</v>
      </c>
      <c r="R16" s="1" t="s">
        <v>198</v>
      </c>
      <c r="S16" s="1" t="s">
        <v>198</v>
      </c>
      <c r="T16" s="1" t="s">
        <v>198</v>
      </c>
      <c r="U16" s="1" t="s">
        <v>198</v>
      </c>
      <c r="V16" s="1" t="s">
        <v>198</v>
      </c>
      <c r="W16" s="1" t="s">
        <v>198</v>
      </c>
      <c r="X16" s="1" t="s">
        <v>198</v>
      </c>
      <c r="Y16" s="1" t="s">
        <v>198</v>
      </c>
      <c r="Z16" s="1" t="s">
        <v>196</v>
      </c>
      <c r="AA16" s="1" t="s">
        <v>198</v>
      </c>
      <c r="AB16" s="1" t="s">
        <v>198</v>
      </c>
      <c r="AC16" s="1" t="s">
        <v>198</v>
      </c>
      <c r="AD16" s="1">
        <f t="shared" si="0"/>
        <v>4</v>
      </c>
    </row>
    <row r="17" spans="1:30" x14ac:dyDescent="0.25">
      <c r="A17" s="1" t="s">
        <v>32</v>
      </c>
      <c r="B17" s="1"/>
      <c r="C17" s="1" t="s">
        <v>198</v>
      </c>
      <c r="D17" s="1" t="s">
        <v>198</v>
      </c>
      <c r="E17" s="1" t="s">
        <v>198</v>
      </c>
      <c r="F17" s="1" t="s">
        <v>196</v>
      </c>
      <c r="G17" s="1" t="s">
        <v>198</v>
      </c>
      <c r="H17" s="1" t="s">
        <v>198</v>
      </c>
      <c r="I17" s="1" t="s">
        <v>196</v>
      </c>
      <c r="J17" s="1" t="s">
        <v>198</v>
      </c>
      <c r="K17" s="1" t="s">
        <v>198</v>
      </c>
      <c r="L17" s="1" t="s">
        <v>198</v>
      </c>
      <c r="M17" s="1" t="s">
        <v>198</v>
      </c>
      <c r="N17" s="1" t="s">
        <v>198</v>
      </c>
      <c r="O17" s="1" t="s">
        <v>196</v>
      </c>
      <c r="P17" s="1" t="s">
        <v>198</v>
      </c>
      <c r="Q17" s="1" t="s">
        <v>198</v>
      </c>
      <c r="R17" s="1" t="s">
        <v>198</v>
      </c>
      <c r="S17" s="1" t="s">
        <v>198</v>
      </c>
      <c r="T17" s="1" t="s">
        <v>198</v>
      </c>
      <c r="U17" s="1" t="s">
        <v>198</v>
      </c>
      <c r="V17" s="1" t="s">
        <v>198</v>
      </c>
      <c r="W17" s="1" t="s">
        <v>198</v>
      </c>
      <c r="X17" s="1" t="s">
        <v>198</v>
      </c>
      <c r="Y17" s="1" t="s">
        <v>198</v>
      </c>
      <c r="Z17" s="1" t="s">
        <v>198</v>
      </c>
      <c r="AA17" s="1" t="s">
        <v>198</v>
      </c>
      <c r="AB17" s="1" t="s">
        <v>198</v>
      </c>
      <c r="AC17" s="1" t="s">
        <v>198</v>
      </c>
      <c r="AD17" s="1">
        <f t="shared" si="0"/>
        <v>3</v>
      </c>
    </row>
    <row r="18" spans="1:30" x14ac:dyDescent="0.25">
      <c r="A18" s="1" t="s">
        <v>33</v>
      </c>
      <c r="B18" s="1"/>
      <c r="C18" s="1" t="s">
        <v>196</v>
      </c>
      <c r="D18" s="1" t="s">
        <v>198</v>
      </c>
      <c r="E18" s="1" t="s">
        <v>198</v>
      </c>
      <c r="F18" s="1" t="s">
        <v>198</v>
      </c>
      <c r="G18" s="1" t="s">
        <v>198</v>
      </c>
      <c r="H18" s="1" t="s">
        <v>196</v>
      </c>
      <c r="I18" s="1" t="s">
        <v>196</v>
      </c>
      <c r="J18" s="1" t="s">
        <v>196</v>
      </c>
      <c r="K18" s="1" t="s">
        <v>196</v>
      </c>
      <c r="L18" s="1" t="s">
        <v>196</v>
      </c>
      <c r="M18" s="1" t="s">
        <v>196</v>
      </c>
      <c r="N18" s="1" t="s">
        <v>196</v>
      </c>
      <c r="O18" s="1" t="s">
        <v>196</v>
      </c>
      <c r="P18" s="1" t="s">
        <v>196</v>
      </c>
      <c r="Q18" s="1" t="s">
        <v>196</v>
      </c>
      <c r="R18" s="1" t="s">
        <v>196</v>
      </c>
      <c r="S18" s="1" t="s">
        <v>196</v>
      </c>
      <c r="T18" s="1" t="s">
        <v>196</v>
      </c>
      <c r="U18" s="1" t="s">
        <v>198</v>
      </c>
      <c r="V18" s="1" t="s">
        <v>198</v>
      </c>
      <c r="W18" s="1" t="s">
        <v>198</v>
      </c>
      <c r="X18" s="1" t="s">
        <v>198</v>
      </c>
      <c r="Y18" s="1" t="s">
        <v>198</v>
      </c>
      <c r="Z18" s="1" t="s">
        <v>198</v>
      </c>
      <c r="AA18" s="1" t="s">
        <v>198</v>
      </c>
      <c r="AB18" s="1" t="s">
        <v>198</v>
      </c>
      <c r="AC18" s="1" t="s">
        <v>198</v>
      </c>
      <c r="AD18" s="1">
        <f t="shared" si="0"/>
        <v>14</v>
      </c>
    </row>
    <row r="19" spans="1:30" x14ac:dyDescent="0.25">
      <c r="A19" s="1" t="s">
        <v>34</v>
      </c>
      <c r="B19" s="1"/>
      <c r="C19" s="1" t="s">
        <v>198</v>
      </c>
      <c r="D19" s="1" t="s">
        <v>196</v>
      </c>
      <c r="E19" s="1" t="s">
        <v>198</v>
      </c>
      <c r="F19" s="1" t="s">
        <v>198</v>
      </c>
      <c r="G19" s="1" t="s">
        <v>198</v>
      </c>
      <c r="H19" s="1" t="s">
        <v>198</v>
      </c>
      <c r="I19" s="1" t="s">
        <v>196</v>
      </c>
      <c r="J19" s="1" t="s">
        <v>196</v>
      </c>
      <c r="K19" s="1" t="s">
        <v>198</v>
      </c>
      <c r="L19" s="1" t="s">
        <v>198</v>
      </c>
      <c r="M19" s="1" t="s">
        <v>198</v>
      </c>
      <c r="N19" s="1" t="s">
        <v>198</v>
      </c>
      <c r="O19" s="1" t="s">
        <v>196</v>
      </c>
      <c r="P19" s="1" t="s">
        <v>196</v>
      </c>
      <c r="Q19" s="1" t="s">
        <v>198</v>
      </c>
      <c r="R19" s="1" t="s">
        <v>198</v>
      </c>
      <c r="S19" s="1" t="s">
        <v>198</v>
      </c>
      <c r="T19" s="1" t="s">
        <v>198</v>
      </c>
      <c r="U19" s="1" t="s">
        <v>196</v>
      </c>
      <c r="V19" s="1" t="s">
        <v>196</v>
      </c>
      <c r="W19" s="1" t="s">
        <v>198</v>
      </c>
      <c r="X19" s="1" t="s">
        <v>198</v>
      </c>
      <c r="Y19" s="1" t="s">
        <v>198</v>
      </c>
      <c r="Z19" s="1" t="s">
        <v>198</v>
      </c>
      <c r="AA19" s="1" t="s">
        <v>198</v>
      </c>
      <c r="AB19" s="1" t="s">
        <v>198</v>
      </c>
      <c r="AC19" s="1" t="s">
        <v>198</v>
      </c>
      <c r="AD19" s="1">
        <f t="shared" si="0"/>
        <v>7</v>
      </c>
    </row>
    <row r="20" spans="1:30" x14ac:dyDescent="0.25">
      <c r="A20" s="1" t="s">
        <v>35</v>
      </c>
      <c r="B20" s="1"/>
      <c r="C20" s="1" t="s">
        <v>196</v>
      </c>
      <c r="D20" s="1" t="s">
        <v>198</v>
      </c>
      <c r="E20" s="1" t="s">
        <v>198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198</v>
      </c>
      <c r="M20" s="1" t="s">
        <v>198</v>
      </c>
      <c r="N20" s="1" t="s">
        <v>198</v>
      </c>
      <c r="O20" s="1" t="s">
        <v>198</v>
      </c>
      <c r="P20" s="1" t="s">
        <v>198</v>
      </c>
      <c r="Q20" s="1" t="s">
        <v>198</v>
      </c>
      <c r="R20" s="1" t="s">
        <v>198</v>
      </c>
      <c r="S20" s="1" t="s">
        <v>198</v>
      </c>
      <c r="T20" s="1" t="s">
        <v>198</v>
      </c>
      <c r="U20" s="1" t="s">
        <v>198</v>
      </c>
      <c r="V20" s="1" t="s">
        <v>198</v>
      </c>
      <c r="W20" s="1" t="s">
        <v>198</v>
      </c>
      <c r="X20" s="1" t="s">
        <v>198</v>
      </c>
      <c r="Y20" s="1" t="s">
        <v>198</v>
      </c>
      <c r="Z20" s="1" t="s">
        <v>198</v>
      </c>
      <c r="AA20" s="1" t="s">
        <v>198</v>
      </c>
      <c r="AB20" s="1" t="s">
        <v>198</v>
      </c>
      <c r="AC20" s="1" t="s">
        <v>196</v>
      </c>
      <c r="AD20" s="1">
        <f t="shared" si="0"/>
        <v>2</v>
      </c>
    </row>
  </sheetData>
  <mergeCells count="3">
    <mergeCell ref="A2:AC2"/>
    <mergeCell ref="A3:AC3"/>
    <mergeCell ref="A1:AD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zoomScale="90" zoomScaleNormal="90" workbookViewId="0">
      <selection activeCell="A5" sqref="A5"/>
    </sheetView>
  </sheetViews>
  <sheetFormatPr defaultRowHeight="15" x14ac:dyDescent="0.25"/>
  <cols>
    <col min="3" max="3" width="11.140625" customWidth="1"/>
    <col min="9" max="9" width="9.140625" customWidth="1"/>
  </cols>
  <sheetData>
    <row r="1" spans="1:12" ht="36" x14ac:dyDescent="0.55000000000000004">
      <c r="A1" s="59" t="s">
        <v>36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2" ht="26.25" x14ac:dyDescent="0.4">
      <c r="A2" s="58" t="s">
        <v>38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8.75" x14ac:dyDescent="0.3">
      <c r="A3" s="49" t="s">
        <v>37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x14ac:dyDescent="0.25">
      <c r="A4" s="10" t="s">
        <v>39</v>
      </c>
      <c r="B4" s="60" t="s">
        <v>40</v>
      </c>
      <c r="C4" s="60"/>
      <c r="D4" s="60"/>
      <c r="E4" s="60"/>
      <c r="F4" s="60"/>
      <c r="G4" s="60"/>
      <c r="H4" s="60"/>
      <c r="I4" s="61" t="s">
        <v>41</v>
      </c>
      <c r="J4" s="61"/>
      <c r="K4" s="61" t="s">
        <v>42</v>
      </c>
      <c r="L4" s="61"/>
    </row>
    <row r="5" spans="1:12" x14ac:dyDescent="0.25">
      <c r="A5" s="1">
        <v>1</v>
      </c>
      <c r="B5" s="1" t="s">
        <v>43</v>
      </c>
      <c r="C5" s="1"/>
      <c r="D5" s="1"/>
      <c r="E5" s="1"/>
      <c r="F5" s="1"/>
      <c r="G5" s="1"/>
      <c r="H5" s="1"/>
      <c r="I5" s="52"/>
      <c r="J5" s="52"/>
      <c r="K5" s="52">
        <v>1556</v>
      </c>
      <c r="L5" s="52"/>
    </row>
    <row r="6" spans="1:12" x14ac:dyDescent="0.25">
      <c r="A6" s="1">
        <v>2</v>
      </c>
      <c r="B6" s="1" t="s">
        <v>44</v>
      </c>
      <c r="C6" s="1"/>
      <c r="D6" s="1"/>
      <c r="E6" s="1"/>
      <c r="F6" s="1"/>
      <c r="G6" s="1"/>
      <c r="H6" s="1"/>
      <c r="I6" s="52">
        <v>564</v>
      </c>
      <c r="J6" s="52"/>
      <c r="K6" s="50"/>
      <c r="L6" s="50"/>
    </row>
    <row r="7" spans="1:12" x14ac:dyDescent="0.25">
      <c r="A7" s="1">
        <v>3</v>
      </c>
      <c r="B7" s="1" t="s">
        <v>45</v>
      </c>
      <c r="C7" s="1"/>
      <c r="D7" s="1"/>
      <c r="E7" s="1"/>
      <c r="F7" s="1"/>
      <c r="G7" s="1"/>
      <c r="H7" s="1"/>
      <c r="I7" s="52">
        <v>750</v>
      </c>
      <c r="J7" s="52"/>
      <c r="K7" s="52"/>
      <c r="L7" s="52"/>
    </row>
    <row r="8" spans="1:12" x14ac:dyDescent="0.25">
      <c r="A8" s="1">
        <v>4</v>
      </c>
      <c r="B8" s="50" t="s">
        <v>46</v>
      </c>
      <c r="C8" s="50"/>
      <c r="D8" s="1"/>
      <c r="E8" s="1"/>
      <c r="F8" s="1"/>
      <c r="G8" s="1"/>
      <c r="H8" s="1"/>
      <c r="I8" s="52"/>
      <c r="J8" s="52"/>
      <c r="K8" s="52">
        <v>2750</v>
      </c>
      <c r="L8" s="52"/>
    </row>
    <row r="9" spans="1:12" x14ac:dyDescent="0.25">
      <c r="A9" s="1">
        <v>5</v>
      </c>
      <c r="B9" s="1" t="s">
        <v>47</v>
      </c>
      <c r="C9" s="1"/>
      <c r="D9" s="1"/>
      <c r="E9" s="1"/>
      <c r="F9" s="1"/>
      <c r="G9" s="1"/>
      <c r="H9" s="1"/>
      <c r="I9" s="52">
        <v>530</v>
      </c>
      <c r="J9" s="52"/>
      <c r="K9" s="52"/>
      <c r="L9" s="52"/>
    </row>
    <row r="10" spans="1:12" x14ac:dyDescent="0.25">
      <c r="A10" s="1">
        <v>6</v>
      </c>
      <c r="B10" s="1" t="s">
        <v>48</v>
      </c>
      <c r="C10" s="1"/>
      <c r="D10" s="1"/>
      <c r="E10" s="1"/>
      <c r="F10" s="1"/>
      <c r="G10" s="1"/>
      <c r="H10" s="1"/>
      <c r="I10" s="52">
        <v>1259</v>
      </c>
      <c r="J10" s="52"/>
      <c r="K10" s="52"/>
      <c r="L10" s="52"/>
    </row>
    <row r="11" spans="1:12" x14ac:dyDescent="0.25">
      <c r="A11" s="1">
        <v>7</v>
      </c>
      <c r="B11" s="1" t="s">
        <v>49</v>
      </c>
      <c r="C11" s="1"/>
      <c r="D11" s="1"/>
      <c r="E11" s="1"/>
      <c r="F11" s="1"/>
      <c r="G11" s="1"/>
      <c r="H11" s="1"/>
      <c r="I11" s="52"/>
      <c r="J11" s="52"/>
      <c r="K11" s="52">
        <v>264</v>
      </c>
      <c r="L11" s="52"/>
    </row>
    <row r="12" spans="1:12" x14ac:dyDescent="0.25">
      <c r="A12" s="1">
        <v>8</v>
      </c>
      <c r="B12" s="1" t="s">
        <v>50</v>
      </c>
      <c r="C12" s="1"/>
      <c r="D12" s="1"/>
      <c r="E12" s="1"/>
      <c r="F12" s="1"/>
      <c r="G12" s="1"/>
      <c r="H12" s="1"/>
      <c r="I12" s="52"/>
      <c r="J12" s="52"/>
      <c r="K12" s="52">
        <v>256</v>
      </c>
      <c r="L12" s="52"/>
    </row>
    <row r="13" spans="1:12" x14ac:dyDescent="0.25">
      <c r="A13" s="1">
        <v>9</v>
      </c>
      <c r="B13" s="1" t="s">
        <v>51</v>
      </c>
      <c r="C13" s="1"/>
      <c r="D13" s="1"/>
      <c r="E13" s="1"/>
      <c r="F13" s="1"/>
      <c r="G13" s="1"/>
      <c r="H13" s="1"/>
      <c r="I13" s="52"/>
      <c r="J13" s="52"/>
      <c r="K13" s="52">
        <v>528</v>
      </c>
      <c r="L13" s="52"/>
    </row>
    <row r="14" spans="1:12" x14ac:dyDescent="0.25">
      <c r="A14" s="1">
        <v>10</v>
      </c>
      <c r="B14" s="1" t="s">
        <v>52</v>
      </c>
      <c r="C14" s="1"/>
      <c r="D14" s="1"/>
      <c r="E14" s="1"/>
      <c r="F14" s="1"/>
      <c r="G14" s="1"/>
      <c r="H14" s="1"/>
      <c r="I14" s="52">
        <v>700</v>
      </c>
      <c r="J14" s="52"/>
      <c r="K14" s="52"/>
      <c r="L14" s="52"/>
    </row>
    <row r="15" spans="1:12" x14ac:dyDescent="0.25">
      <c r="A15" s="1">
        <v>11</v>
      </c>
      <c r="B15" s="1" t="s">
        <v>53</v>
      </c>
      <c r="C15" s="1"/>
      <c r="D15" s="1"/>
      <c r="E15" s="1"/>
      <c r="F15" s="1"/>
      <c r="G15" s="1"/>
      <c r="H15" s="1"/>
      <c r="I15" s="52">
        <v>226</v>
      </c>
      <c r="J15" s="52"/>
      <c r="K15" s="52"/>
      <c r="L15" s="52"/>
    </row>
    <row r="16" spans="1:12" x14ac:dyDescent="0.25">
      <c r="A16" s="1">
        <v>12</v>
      </c>
      <c r="B16" s="1" t="s">
        <v>54</v>
      </c>
      <c r="C16" s="1"/>
      <c r="D16" s="1"/>
      <c r="E16" s="1"/>
      <c r="F16" s="1"/>
      <c r="G16" s="1"/>
      <c r="H16" s="1"/>
      <c r="I16" s="52"/>
      <c r="J16" s="52"/>
      <c r="K16" s="52">
        <v>100</v>
      </c>
      <c r="L16" s="52"/>
    </row>
    <row r="17" spans="1:12" x14ac:dyDescent="0.25">
      <c r="A17" s="1">
        <v>13</v>
      </c>
      <c r="B17" s="1" t="s">
        <v>55</v>
      </c>
      <c r="C17" s="1"/>
      <c r="D17" s="1"/>
      <c r="E17" s="1"/>
      <c r="F17" s="1"/>
      <c r="G17" s="1"/>
      <c r="H17" s="1"/>
      <c r="I17" s="52">
        <v>600</v>
      </c>
      <c r="J17" s="52"/>
      <c r="K17" s="52"/>
      <c r="L17" s="52"/>
    </row>
    <row r="18" spans="1:12" x14ac:dyDescent="0.25">
      <c r="A18" s="1">
        <v>14</v>
      </c>
      <c r="B18" s="1" t="s">
        <v>56</v>
      </c>
      <c r="C18" s="1"/>
      <c r="D18" s="1"/>
      <c r="E18" s="1"/>
      <c r="F18" s="1"/>
      <c r="G18" s="1"/>
      <c r="H18" s="1"/>
      <c r="I18" s="52">
        <v>264</v>
      </c>
      <c r="J18" s="52"/>
      <c r="K18" s="52"/>
      <c r="L18" s="52"/>
    </row>
    <row r="19" spans="1:12" x14ac:dyDescent="0.25">
      <c r="A19" s="1">
        <v>15</v>
      </c>
      <c r="B19" s="1" t="s">
        <v>57</v>
      </c>
      <c r="C19" s="1"/>
      <c r="D19" s="1"/>
      <c r="E19" s="1"/>
      <c r="F19" s="1"/>
      <c r="G19" s="1"/>
      <c r="H19" s="1"/>
      <c r="I19" s="52">
        <v>463</v>
      </c>
      <c r="J19" s="52"/>
      <c r="K19" s="52"/>
      <c r="L19" s="52"/>
    </row>
    <row r="20" spans="1:12" x14ac:dyDescent="0.25">
      <c r="A20" s="1">
        <v>16</v>
      </c>
      <c r="B20" s="1" t="s">
        <v>58</v>
      </c>
      <c r="C20" s="1"/>
      <c r="D20" s="1"/>
      <c r="E20" s="1"/>
      <c r="F20" s="1"/>
      <c r="G20" s="1"/>
      <c r="H20" s="1"/>
      <c r="I20" s="52">
        <v>98</v>
      </c>
      <c r="J20" s="52"/>
      <c r="K20" s="52"/>
      <c r="L20" s="52"/>
    </row>
    <row r="21" spans="1:12" ht="15.75" x14ac:dyDescent="0.25">
      <c r="A21" s="57" t="s">
        <v>59</v>
      </c>
      <c r="B21" s="57"/>
      <c r="C21" s="57"/>
      <c r="D21" s="57"/>
      <c r="E21" s="57"/>
      <c r="F21" s="57"/>
      <c r="G21" s="57"/>
      <c r="H21" s="57"/>
      <c r="I21" s="57">
        <f>SUM(I6:I20)</f>
        <v>5454</v>
      </c>
      <c r="J21" s="57"/>
      <c r="K21" s="57">
        <f>SUM(K5:K20)</f>
        <v>5454</v>
      </c>
      <c r="L21" s="57"/>
    </row>
  </sheetData>
  <mergeCells count="42">
    <mergeCell ref="A2:L2"/>
    <mergeCell ref="A1:L1"/>
    <mergeCell ref="A3:L3"/>
    <mergeCell ref="B4:H4"/>
    <mergeCell ref="I4:J4"/>
    <mergeCell ref="K4:L4"/>
    <mergeCell ref="K5:L5"/>
    <mergeCell ref="I5:J5"/>
    <mergeCell ref="I6:J6"/>
    <mergeCell ref="K6:L6"/>
    <mergeCell ref="I7:J7"/>
    <mergeCell ref="K7:L7"/>
    <mergeCell ref="B8:C8"/>
    <mergeCell ref="K8:L8"/>
    <mergeCell ref="I8:J8"/>
    <mergeCell ref="I9:J9"/>
    <mergeCell ref="K9:L9"/>
    <mergeCell ref="I10:J10"/>
    <mergeCell ref="K10:L10"/>
    <mergeCell ref="I11:J11"/>
    <mergeCell ref="K11:L11"/>
    <mergeCell ref="I14:J14"/>
    <mergeCell ref="I12:J12"/>
    <mergeCell ref="I13:J13"/>
    <mergeCell ref="K12:L12"/>
    <mergeCell ref="K13:L13"/>
    <mergeCell ref="K14:L14"/>
    <mergeCell ref="K15:L15"/>
    <mergeCell ref="A21:H21"/>
    <mergeCell ref="I21:J21"/>
    <mergeCell ref="K21:L21"/>
    <mergeCell ref="I19:J19"/>
    <mergeCell ref="I20:J20"/>
    <mergeCell ref="K19:L19"/>
    <mergeCell ref="K20:L20"/>
    <mergeCell ref="K17:L17"/>
    <mergeCell ref="I18:J18"/>
    <mergeCell ref="K18:L18"/>
    <mergeCell ref="I15:J15"/>
    <mergeCell ref="I16:J16"/>
    <mergeCell ref="I17:J17"/>
    <mergeCell ref="K16:L1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1"/>
  <sheetViews>
    <sheetView tabSelected="1" topLeftCell="V1" zoomScale="80" zoomScaleNormal="80" workbookViewId="0">
      <selection activeCell="AF12" sqref="AF12"/>
    </sheetView>
  </sheetViews>
  <sheetFormatPr defaultRowHeight="15" x14ac:dyDescent="0.25"/>
  <cols>
    <col min="4" max="4" width="10.42578125" customWidth="1"/>
    <col min="5" max="5" width="7.7109375" hidden="1" customWidth="1"/>
    <col min="6" max="7" width="9.140625" hidden="1" customWidth="1"/>
    <col min="8" max="8" width="40.28515625" bestFit="1" customWidth="1"/>
    <col min="11" max="11" width="11.85546875" customWidth="1"/>
    <col min="12" max="12" width="15.42578125" customWidth="1"/>
    <col min="13" max="13" width="14" customWidth="1"/>
    <col min="15" max="15" width="13.5703125" customWidth="1"/>
    <col min="16" max="16" width="13.42578125" customWidth="1"/>
    <col min="17" max="17" width="11.28515625" customWidth="1"/>
    <col min="18" max="18" width="10.42578125" customWidth="1"/>
    <col min="21" max="21" width="38.28515625" customWidth="1"/>
    <col min="22" max="22" width="39.85546875" customWidth="1"/>
    <col min="23" max="23" width="20.28515625" customWidth="1"/>
    <col min="24" max="24" width="10.7109375" bestFit="1" customWidth="1"/>
    <col min="25" max="25" width="15.5703125" customWidth="1"/>
    <col min="26" max="26" width="26" customWidth="1"/>
    <col min="28" max="28" width="13.140625" customWidth="1"/>
    <col min="30" max="30" width="19.28515625" customWidth="1"/>
    <col min="31" max="31" width="14.140625" customWidth="1"/>
    <col min="32" max="32" width="28.7109375" customWidth="1"/>
    <col min="34" max="34" width="14.7109375" customWidth="1"/>
    <col min="36" max="36" width="14.42578125" customWidth="1"/>
  </cols>
  <sheetData>
    <row r="1" spans="1:44" ht="15" customHeight="1" x14ac:dyDescent="0.25">
      <c r="A1" s="63" t="s">
        <v>348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44" ht="15" customHeigh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44" ht="15" customHeight="1" x14ac:dyDescent="0.2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Q3" s="81"/>
      <c r="V3" t="s">
        <v>83</v>
      </c>
    </row>
    <row r="4" spans="1:44" ht="48" customHeight="1" x14ac:dyDescent="0.2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Q4" s="80" t="s">
        <v>83</v>
      </c>
      <c r="AF4" s="79" t="s">
        <v>63</v>
      </c>
      <c r="AG4" s="79"/>
      <c r="AH4" s="79"/>
      <c r="AI4" s="79"/>
    </row>
    <row r="5" spans="1:44" ht="28.5" x14ac:dyDescent="0.45">
      <c r="A5" s="62" t="s">
        <v>99</v>
      </c>
      <c r="B5" s="62"/>
      <c r="C5" s="62"/>
      <c r="D5" s="62"/>
      <c r="E5" s="62"/>
      <c r="F5" s="62"/>
      <c r="G5" s="62"/>
      <c r="H5" s="62"/>
      <c r="I5" s="62"/>
      <c r="J5" s="62"/>
      <c r="K5" s="62"/>
      <c r="P5" s="12" t="s">
        <v>89</v>
      </c>
      <c r="Q5" t="s">
        <v>354</v>
      </c>
      <c r="AB5" s="46" t="s">
        <v>375</v>
      </c>
      <c r="AE5" s="79" t="s">
        <v>84</v>
      </c>
      <c r="AF5" s="79" t="s">
        <v>84</v>
      </c>
      <c r="AG5" s="12"/>
      <c r="AH5" s="12"/>
      <c r="AI5" s="12"/>
      <c r="AJ5" s="12" t="s">
        <v>84</v>
      </c>
      <c r="AN5">
        <v>3</v>
      </c>
    </row>
    <row r="6" spans="1:44" ht="23.25" x14ac:dyDescent="0.35">
      <c r="A6" s="53" t="s">
        <v>62</v>
      </c>
      <c r="B6" s="53"/>
      <c r="C6" s="53"/>
      <c r="D6" s="53"/>
      <c r="E6" s="53"/>
      <c r="F6" s="53"/>
      <c r="G6" s="53"/>
      <c r="H6" s="53"/>
      <c r="I6" s="53"/>
      <c r="J6" s="53"/>
      <c r="K6" s="53"/>
      <c r="N6" s="45" t="s">
        <v>349</v>
      </c>
      <c r="O6" s="45" t="s">
        <v>350</v>
      </c>
      <c r="P6" s="45" t="s">
        <v>351</v>
      </c>
      <c r="Q6" s="45" t="s">
        <v>352</v>
      </c>
      <c r="R6" s="45" t="s">
        <v>363</v>
      </c>
      <c r="S6" s="45" t="s">
        <v>365</v>
      </c>
      <c r="T6" s="45" t="s">
        <v>366</v>
      </c>
      <c r="U6" s="45" t="s">
        <v>368</v>
      </c>
      <c r="V6" s="45" t="s">
        <v>367</v>
      </c>
      <c r="W6" s="45" t="s">
        <v>369</v>
      </c>
      <c r="X6" s="45" t="s">
        <v>370</v>
      </c>
      <c r="Y6" s="45" t="s">
        <v>371</v>
      </c>
      <c r="Z6" s="45" t="s">
        <v>372</v>
      </c>
      <c r="AA6" s="45" t="s">
        <v>373</v>
      </c>
      <c r="AB6" s="45" t="s">
        <v>374</v>
      </c>
      <c r="AC6" s="45" t="s">
        <v>376</v>
      </c>
      <c r="AD6" s="45" t="s">
        <v>379</v>
      </c>
      <c r="AE6" s="45" t="s">
        <v>380</v>
      </c>
      <c r="AF6" s="45" t="s">
        <v>381</v>
      </c>
      <c r="AG6" s="45" t="s">
        <v>382</v>
      </c>
      <c r="AH6" s="45" t="s">
        <v>383</v>
      </c>
      <c r="AI6" s="45" t="s">
        <v>384</v>
      </c>
      <c r="AJ6" s="45" t="s">
        <v>385</v>
      </c>
      <c r="AK6" s="45" t="s">
        <v>386</v>
      </c>
      <c r="AL6" s="45" t="s">
        <v>387</v>
      </c>
      <c r="AM6" s="45" t="s">
        <v>388</v>
      </c>
      <c r="AN6" s="45" t="s">
        <v>389</v>
      </c>
    </row>
    <row r="7" spans="1:44" x14ac:dyDescent="0.25">
      <c r="A7" s="15" t="s">
        <v>39</v>
      </c>
      <c r="B7" s="61" t="s">
        <v>61</v>
      </c>
      <c r="C7" s="61"/>
      <c r="D7" s="61"/>
      <c r="E7" s="61"/>
      <c r="F7" s="61"/>
      <c r="G7" s="61"/>
      <c r="H7" s="15" t="s">
        <v>79</v>
      </c>
      <c r="I7" s="15" t="s">
        <v>80</v>
      </c>
      <c r="J7" s="15" t="s">
        <v>81</v>
      </c>
      <c r="K7" s="15" t="s">
        <v>82</v>
      </c>
      <c r="L7" s="47" t="s">
        <v>353</v>
      </c>
      <c r="M7">
        <v>20</v>
      </c>
      <c r="N7" t="str">
        <f>ROMAN(M7)</f>
        <v>XX</v>
      </c>
      <c r="O7">
        <f>ROUND(SQRT(M7),1)</f>
        <v>4.5</v>
      </c>
      <c r="P7">
        <f>SUMIF(H8:H37,P5,K8:K37)</f>
        <v>2152640</v>
      </c>
      <c r="Q7">
        <f>SUMIFS(K8:K37,H8:H37,Q4,L8:L37,Q5)</f>
        <v>828000</v>
      </c>
      <c r="R7">
        <f>SUMPRODUCT(J8:J37,I8:I37)</f>
        <v>28534185</v>
      </c>
      <c r="S7">
        <f>INT(O7)</f>
        <v>4</v>
      </c>
      <c r="T7">
        <f>MOD(M7,S7)</f>
        <v>0</v>
      </c>
      <c r="U7" t="str">
        <f>LOWER(H8)</f>
        <v>red      marble</v>
      </c>
      <c r="V7" t="str">
        <f>PROPER(H8)</f>
        <v>Red      Marble</v>
      </c>
      <c r="W7" t="str">
        <f>LOWER(LEFT(V7,4))</f>
        <v xml:space="preserve">red </v>
      </c>
      <c r="X7" t="str">
        <f>MID(V7,2,8)</f>
        <v xml:space="preserve">ed      </v>
      </c>
      <c r="Y7" s="12">
        <f>LEN(U7)</f>
        <v>15</v>
      </c>
      <c r="Z7" t="e">
        <f ca="1">_xlfn.CONCAT(W7," ",X7)</f>
        <v>#NAME?</v>
      </c>
      <c r="AA7" t="b">
        <f>EXACT(H8,V3)</f>
        <v>0</v>
      </c>
      <c r="AB7" t="str">
        <f>TRIM(H8)</f>
        <v>RED MARBLE</v>
      </c>
      <c r="AC7">
        <f>AVERAGE(K8:K37)</f>
        <v>951139.5</v>
      </c>
      <c r="AD7">
        <f>ROUND(AVERAGEA(Z40:Z51),0)</f>
        <v>4728</v>
      </c>
      <c r="AE7">
        <f>AVERAGEIF(H8:H37,AE5,K8:K37)</f>
        <v>1742080</v>
      </c>
      <c r="AF7" t="e">
        <f>AVERAGEIFS(K8:K37,H8:H37,AF5,B8:E37,AF4)</f>
        <v>#VALUE!</v>
      </c>
      <c r="AG7">
        <f>COUNT(Y7:Y36)</f>
        <v>30</v>
      </c>
      <c r="AH7">
        <f>COUNTBLANK(Z40:Z51)</f>
        <v>2</v>
      </c>
      <c r="AI7">
        <f>COUNTA(Z40:Z51)</f>
        <v>10</v>
      </c>
      <c r="AJ7">
        <f>COUNTIF($H$8:$H$37,AJ5)</f>
        <v>5</v>
      </c>
      <c r="AK7">
        <f>MAX(Y7:Y36)</f>
        <v>20</v>
      </c>
      <c r="AL7">
        <f>MIN(Y7:Y36)</f>
        <v>10</v>
      </c>
      <c r="AM7">
        <f>MODE(Y7:Y36)</f>
        <v>10</v>
      </c>
      <c r="AN7">
        <f>LOOKUP($AN$5,$A$8:$A$37,K8:K37)</f>
        <v>55275</v>
      </c>
      <c r="AO7" t="str">
        <f t="shared" ref="AO7:AR22" si="0">LOOKUP($AN$5,$A$8:$A$37,L8:L37)</f>
        <v>uttarakhamd</v>
      </c>
      <c r="AP7">
        <f t="shared" si="0"/>
        <v>23</v>
      </c>
      <c r="AQ7" t="str">
        <f t="shared" si="0"/>
        <v>XXIII</v>
      </c>
      <c r="AR7">
        <f t="shared" si="0"/>
        <v>4.8</v>
      </c>
    </row>
    <row r="8" spans="1:44" x14ac:dyDescent="0.25">
      <c r="A8" s="1">
        <v>1</v>
      </c>
      <c r="B8" s="52" t="s">
        <v>78</v>
      </c>
      <c r="C8" s="52"/>
      <c r="D8" s="52"/>
      <c r="E8" s="52"/>
      <c r="F8" s="1"/>
      <c r="G8" s="1"/>
      <c r="H8" s="14" t="s">
        <v>390</v>
      </c>
      <c r="I8" s="1">
        <v>1000</v>
      </c>
      <c r="J8" s="1">
        <v>2500</v>
      </c>
      <c r="K8" s="1">
        <f>I8*J8</f>
        <v>2500000</v>
      </c>
      <c r="L8" t="s">
        <v>354</v>
      </c>
      <c r="M8">
        <v>21</v>
      </c>
      <c r="N8" t="str">
        <f t="shared" ref="N8:N37" si="1">ROMAN(M8)</f>
        <v>XXI</v>
      </c>
      <c r="O8">
        <f t="shared" ref="O8:O37" si="2">ROUND(SQRT(M8),1)</f>
        <v>4.5999999999999996</v>
      </c>
      <c r="S8">
        <f t="shared" ref="S8:S37" si="3">INT(O8)</f>
        <v>4</v>
      </c>
      <c r="T8">
        <f t="shared" ref="T8:T37" si="4">MOD(M8,S8)</f>
        <v>1</v>
      </c>
      <c r="U8" t="str">
        <f t="shared" ref="U8:U37" si="5">LOWER(H9)</f>
        <v>grey granite</v>
      </c>
      <c r="V8" t="str">
        <f t="shared" ref="V8:V37" si="6">PROPER(H9)</f>
        <v>Grey Granite</v>
      </c>
      <c r="W8" t="str">
        <f>UPPER(LEFT(V8,4))</f>
        <v>GREY</v>
      </c>
      <c r="X8" t="str">
        <f t="shared" ref="X8:X36" si="7">MID(V8,2,8)</f>
        <v>rey Gran</v>
      </c>
      <c r="Y8" s="12">
        <f t="shared" ref="Y8:Y36" si="8">LEN(U8)</f>
        <v>12</v>
      </c>
      <c r="Z8" t="e">
        <f ca="1">_xlfn.CONCAT(W8," ",X8)</f>
        <v>#NAME?</v>
      </c>
      <c r="AN8">
        <f t="shared" ref="AN8:AN35" si="9">LOOKUP($AN$5,$A$8:$A$37,K9:K38)</f>
        <v>2708480</v>
      </c>
      <c r="AO8" t="str">
        <f t="shared" si="0"/>
        <v>up</v>
      </c>
      <c r="AP8">
        <f t="shared" si="0"/>
        <v>24</v>
      </c>
      <c r="AQ8" t="str">
        <f t="shared" si="0"/>
        <v>XXIV</v>
      </c>
      <c r="AR8">
        <f t="shared" si="0"/>
        <v>4.9000000000000004</v>
      </c>
    </row>
    <row r="9" spans="1:44" ht="21" x14ac:dyDescent="0.35">
      <c r="A9" s="1">
        <v>2</v>
      </c>
      <c r="B9" s="52" t="s">
        <v>63</v>
      </c>
      <c r="C9" s="52"/>
      <c r="D9" s="52"/>
      <c r="E9" s="52"/>
      <c r="F9" s="1"/>
      <c r="G9" s="1"/>
      <c r="H9" s="14" t="s">
        <v>84</v>
      </c>
      <c r="I9" s="1">
        <v>72</v>
      </c>
      <c r="J9" s="1">
        <v>4200</v>
      </c>
      <c r="K9" s="1">
        <f t="shared" ref="K9:K37" si="10">I9*J9</f>
        <v>302400</v>
      </c>
      <c r="L9" t="s">
        <v>355</v>
      </c>
      <c r="M9">
        <v>22</v>
      </c>
      <c r="N9" t="str">
        <f t="shared" si="1"/>
        <v>XXII</v>
      </c>
      <c r="O9">
        <f t="shared" si="2"/>
        <v>4.7</v>
      </c>
      <c r="S9">
        <f t="shared" si="3"/>
        <v>4</v>
      </c>
      <c r="T9">
        <f t="shared" si="4"/>
        <v>2</v>
      </c>
      <c r="U9" t="str">
        <f t="shared" si="5"/>
        <v>stainless steel taps</v>
      </c>
      <c r="V9" t="str">
        <f t="shared" si="6"/>
        <v>Stainless Steel Taps</v>
      </c>
      <c r="W9" t="str">
        <f t="shared" ref="W9" si="11">LOWER(LEFT(V9,4))</f>
        <v>stai</v>
      </c>
      <c r="X9" t="str">
        <f t="shared" si="7"/>
        <v>tainless</v>
      </c>
      <c r="Y9" s="12">
        <f t="shared" si="8"/>
        <v>20</v>
      </c>
      <c r="Z9" t="str">
        <f t="shared" ref="Z8:Z37" si="12">_xlfn.CONCAT(W9," ",X9)</f>
        <v>stai tainless</v>
      </c>
      <c r="AF9" s="48"/>
      <c r="AN9">
        <f t="shared" si="9"/>
        <v>166400</v>
      </c>
      <c r="AO9" t="str">
        <f t="shared" si="0"/>
        <v>ap</v>
      </c>
      <c r="AP9">
        <f t="shared" si="0"/>
        <v>25</v>
      </c>
      <c r="AQ9" t="str">
        <f t="shared" si="0"/>
        <v>XXV</v>
      </c>
      <c r="AR9">
        <f t="shared" si="0"/>
        <v>5</v>
      </c>
    </row>
    <row r="10" spans="1:44" x14ac:dyDescent="0.25">
      <c r="A10" s="1">
        <v>3</v>
      </c>
      <c r="B10" s="52" t="s">
        <v>67</v>
      </c>
      <c r="C10" s="52"/>
      <c r="D10" s="52"/>
      <c r="E10" s="52"/>
      <c r="F10" s="1"/>
      <c r="G10" s="1"/>
      <c r="H10" s="14" t="s">
        <v>85</v>
      </c>
      <c r="I10" s="1">
        <v>825</v>
      </c>
      <c r="J10" s="1">
        <v>67</v>
      </c>
      <c r="K10" s="1">
        <f t="shared" si="10"/>
        <v>55275</v>
      </c>
      <c r="L10" t="s">
        <v>356</v>
      </c>
      <c r="M10">
        <v>23</v>
      </c>
      <c r="N10" t="str">
        <f t="shared" si="1"/>
        <v>XXIII</v>
      </c>
      <c r="O10">
        <f t="shared" si="2"/>
        <v>4.8</v>
      </c>
      <c r="S10">
        <f t="shared" si="3"/>
        <v>4</v>
      </c>
      <c r="T10">
        <f t="shared" si="4"/>
        <v>3</v>
      </c>
      <c r="U10" t="str">
        <f t="shared" si="5"/>
        <v>connection pipe</v>
      </c>
      <c r="V10" t="str">
        <f t="shared" si="6"/>
        <v>Connection Pipe</v>
      </c>
      <c r="W10" t="str">
        <f t="shared" ref="W10" si="13">UPPER(LEFT(V10,4))</f>
        <v>CONN</v>
      </c>
      <c r="X10" t="str">
        <f t="shared" si="7"/>
        <v>onnectio</v>
      </c>
      <c r="Y10" s="12">
        <f t="shared" si="8"/>
        <v>15</v>
      </c>
      <c r="Z10" t="str">
        <f t="shared" si="12"/>
        <v>CONN onnectio</v>
      </c>
      <c r="AN10">
        <f t="shared" si="9"/>
        <v>1200000</v>
      </c>
      <c r="AO10" t="str">
        <f t="shared" si="0"/>
        <v>bengal</v>
      </c>
      <c r="AP10">
        <f t="shared" si="0"/>
        <v>26</v>
      </c>
      <c r="AQ10" t="str">
        <f t="shared" si="0"/>
        <v>XXVI</v>
      </c>
      <c r="AR10">
        <f t="shared" si="0"/>
        <v>5.0999999999999996</v>
      </c>
    </row>
    <row r="11" spans="1:44" x14ac:dyDescent="0.25">
      <c r="A11" s="1">
        <v>4</v>
      </c>
      <c r="B11" s="52" t="s">
        <v>64</v>
      </c>
      <c r="C11" s="52"/>
      <c r="D11" s="52"/>
      <c r="E11" s="52"/>
      <c r="F11" s="1"/>
      <c r="G11" s="1"/>
      <c r="H11" s="14" t="s">
        <v>86</v>
      </c>
      <c r="I11" s="1">
        <v>5290</v>
      </c>
      <c r="J11" s="1">
        <v>512</v>
      </c>
      <c r="K11" s="1">
        <f t="shared" si="10"/>
        <v>2708480</v>
      </c>
      <c r="L11" t="s">
        <v>354</v>
      </c>
      <c r="M11">
        <v>24</v>
      </c>
      <c r="N11" t="str">
        <f t="shared" si="1"/>
        <v>XXIV</v>
      </c>
      <c r="O11">
        <f t="shared" si="2"/>
        <v>4.9000000000000004</v>
      </c>
      <c r="S11">
        <f t="shared" si="3"/>
        <v>4</v>
      </c>
      <c r="T11">
        <f t="shared" si="4"/>
        <v>0</v>
      </c>
      <c r="U11" t="str">
        <f t="shared" si="5"/>
        <v>iron nails</v>
      </c>
      <c r="V11" t="str">
        <f t="shared" si="6"/>
        <v>Iron Nails</v>
      </c>
      <c r="W11" t="str">
        <f t="shared" ref="W11" si="14">LOWER(LEFT(V11,4))</f>
        <v>iron</v>
      </c>
      <c r="X11" t="str">
        <f t="shared" si="7"/>
        <v>ron Nail</v>
      </c>
      <c r="Y11" s="12">
        <f t="shared" si="8"/>
        <v>10</v>
      </c>
      <c r="Z11" t="str">
        <f t="shared" si="12"/>
        <v>iron ron Nail</v>
      </c>
      <c r="AN11">
        <f t="shared" si="9"/>
        <v>612500</v>
      </c>
      <c r="AO11" t="str">
        <f t="shared" si="0"/>
        <v>maharastra</v>
      </c>
      <c r="AP11">
        <f t="shared" si="0"/>
        <v>27</v>
      </c>
      <c r="AQ11" t="str">
        <f t="shared" si="0"/>
        <v>XXVII</v>
      </c>
      <c r="AR11">
        <f t="shared" si="0"/>
        <v>5.2</v>
      </c>
    </row>
    <row r="12" spans="1:44" x14ac:dyDescent="0.25">
      <c r="A12" s="1">
        <v>5</v>
      </c>
      <c r="B12" s="52" t="s">
        <v>75</v>
      </c>
      <c r="C12" s="52"/>
      <c r="D12" s="52"/>
      <c r="E12" s="52"/>
      <c r="F12" s="1"/>
      <c r="G12" s="1"/>
      <c r="H12" s="14" t="s">
        <v>94</v>
      </c>
      <c r="I12" s="1">
        <v>2080</v>
      </c>
      <c r="J12" s="1">
        <v>80</v>
      </c>
      <c r="K12" s="1">
        <f t="shared" si="10"/>
        <v>166400</v>
      </c>
      <c r="L12" t="s">
        <v>357</v>
      </c>
      <c r="M12">
        <v>25</v>
      </c>
      <c r="N12" t="str">
        <f t="shared" si="1"/>
        <v>XXV</v>
      </c>
      <c r="O12">
        <f t="shared" si="2"/>
        <v>5</v>
      </c>
      <c r="S12">
        <f t="shared" si="3"/>
        <v>5</v>
      </c>
      <c r="T12">
        <f t="shared" si="4"/>
        <v>0</v>
      </c>
      <c r="U12" t="str">
        <f t="shared" si="5"/>
        <v>iron nails</v>
      </c>
      <c r="V12" t="str">
        <f t="shared" si="6"/>
        <v>Iron Nails</v>
      </c>
      <c r="W12" t="str">
        <f t="shared" ref="W12" si="15">UPPER(LEFT(V12,4))</f>
        <v>IRON</v>
      </c>
      <c r="X12" t="str">
        <f t="shared" si="7"/>
        <v>ron Nail</v>
      </c>
      <c r="Y12" s="12">
        <f t="shared" si="8"/>
        <v>10</v>
      </c>
      <c r="Z12" t="str">
        <f t="shared" si="12"/>
        <v>IRON ron Nail</v>
      </c>
      <c r="AN12">
        <f t="shared" si="9"/>
        <v>80000</v>
      </c>
      <c r="AO12" t="str">
        <f t="shared" si="0"/>
        <v>up</v>
      </c>
      <c r="AP12">
        <f t="shared" si="0"/>
        <v>28</v>
      </c>
      <c r="AQ12" t="str">
        <f t="shared" si="0"/>
        <v>XXVIII</v>
      </c>
      <c r="AR12">
        <f t="shared" si="0"/>
        <v>5.3</v>
      </c>
    </row>
    <row r="13" spans="1:44" x14ac:dyDescent="0.25">
      <c r="A13" s="1">
        <v>6</v>
      </c>
      <c r="B13" s="52" t="s">
        <v>65</v>
      </c>
      <c r="C13" s="52"/>
      <c r="D13" s="52"/>
      <c r="E13" s="52"/>
      <c r="F13" s="1"/>
      <c r="G13" s="1"/>
      <c r="H13" s="14" t="s">
        <v>94</v>
      </c>
      <c r="I13" s="1">
        <v>2000</v>
      </c>
      <c r="J13" s="1">
        <v>600</v>
      </c>
      <c r="K13" s="1">
        <f t="shared" si="10"/>
        <v>1200000</v>
      </c>
      <c r="L13" t="s">
        <v>358</v>
      </c>
      <c r="M13">
        <v>26</v>
      </c>
      <c r="N13" t="str">
        <f t="shared" si="1"/>
        <v>XXVI</v>
      </c>
      <c r="O13">
        <f t="shared" si="2"/>
        <v>5.0999999999999996</v>
      </c>
      <c r="S13">
        <f t="shared" si="3"/>
        <v>5</v>
      </c>
      <c r="T13">
        <f t="shared" si="4"/>
        <v>1</v>
      </c>
      <c r="U13" t="str">
        <f t="shared" si="5"/>
        <v>twin brother taps</v>
      </c>
      <c r="V13" t="str">
        <f t="shared" si="6"/>
        <v>Twin Brother Taps</v>
      </c>
      <c r="W13" t="str">
        <f t="shared" ref="W13" si="16">LOWER(LEFT(V13,4))</f>
        <v>twin</v>
      </c>
      <c r="X13" t="str">
        <f t="shared" si="7"/>
        <v>win Brot</v>
      </c>
      <c r="Y13" s="12">
        <f t="shared" si="8"/>
        <v>17</v>
      </c>
      <c r="Z13" t="str">
        <f t="shared" si="12"/>
        <v>twin win Brot</v>
      </c>
      <c r="AN13">
        <f t="shared" si="9"/>
        <v>63000</v>
      </c>
      <c r="AO13" t="str">
        <f t="shared" si="0"/>
        <v>bihar</v>
      </c>
      <c r="AP13">
        <f t="shared" si="0"/>
        <v>29</v>
      </c>
      <c r="AQ13" t="str">
        <f t="shared" si="0"/>
        <v>XXIX</v>
      </c>
      <c r="AR13">
        <f t="shared" si="0"/>
        <v>5.4</v>
      </c>
    </row>
    <row r="14" spans="1:44" x14ac:dyDescent="0.25">
      <c r="A14" s="1">
        <v>7</v>
      </c>
      <c r="B14" s="52" t="s">
        <v>23</v>
      </c>
      <c r="C14" s="52"/>
      <c r="D14" s="52"/>
      <c r="E14" s="52"/>
      <c r="F14" s="1"/>
      <c r="G14" s="1"/>
      <c r="H14" s="14" t="s">
        <v>87</v>
      </c>
      <c r="I14" s="1">
        <v>500</v>
      </c>
      <c r="J14" s="1">
        <v>1225</v>
      </c>
      <c r="K14" s="1">
        <f t="shared" si="10"/>
        <v>612500</v>
      </c>
      <c r="L14" t="s">
        <v>359</v>
      </c>
      <c r="M14">
        <v>27</v>
      </c>
      <c r="N14" t="str">
        <f t="shared" si="1"/>
        <v>XXVII</v>
      </c>
      <c r="O14">
        <f t="shared" si="2"/>
        <v>5.2</v>
      </c>
      <c r="S14">
        <f t="shared" si="3"/>
        <v>5</v>
      </c>
      <c r="T14">
        <f t="shared" si="4"/>
        <v>2</v>
      </c>
      <c r="U14" t="str">
        <f t="shared" si="5"/>
        <v>kajaria tiles 2/2</v>
      </c>
      <c r="V14" t="str">
        <f t="shared" si="6"/>
        <v>Kajaria Tiles 2/2</v>
      </c>
      <c r="W14" t="str">
        <f t="shared" ref="W14" si="17">UPPER(LEFT(V14,4))</f>
        <v>KAJA</v>
      </c>
      <c r="X14" t="str">
        <f t="shared" si="7"/>
        <v>ajaria T</v>
      </c>
      <c r="Y14" s="12">
        <f t="shared" si="8"/>
        <v>17</v>
      </c>
      <c r="Z14" t="str">
        <f t="shared" si="12"/>
        <v>KAJA ajaria T</v>
      </c>
      <c r="AN14">
        <f t="shared" si="9"/>
        <v>6080000</v>
      </c>
      <c r="AO14" t="str">
        <f t="shared" si="0"/>
        <v>bihar</v>
      </c>
      <c r="AP14">
        <f t="shared" si="0"/>
        <v>30</v>
      </c>
      <c r="AQ14" t="str">
        <f t="shared" si="0"/>
        <v>XXX</v>
      </c>
      <c r="AR14">
        <f t="shared" si="0"/>
        <v>5.5</v>
      </c>
    </row>
    <row r="15" spans="1:44" x14ac:dyDescent="0.25">
      <c r="A15" s="1">
        <v>8</v>
      </c>
      <c r="B15" s="52" t="s">
        <v>66</v>
      </c>
      <c r="C15" s="52"/>
      <c r="D15" s="52"/>
      <c r="E15" s="52"/>
      <c r="F15" s="1"/>
      <c r="G15" s="1"/>
      <c r="H15" s="14" t="s">
        <v>88</v>
      </c>
      <c r="I15" s="1">
        <v>100</v>
      </c>
      <c r="J15" s="1">
        <v>800</v>
      </c>
      <c r="K15" s="1">
        <f t="shared" si="10"/>
        <v>80000</v>
      </c>
      <c r="L15" t="s">
        <v>354</v>
      </c>
      <c r="M15">
        <v>28</v>
      </c>
      <c r="N15" t="str">
        <f t="shared" si="1"/>
        <v>XXVIII</v>
      </c>
      <c r="O15">
        <f t="shared" si="2"/>
        <v>5.3</v>
      </c>
      <c r="S15">
        <f t="shared" si="3"/>
        <v>5</v>
      </c>
      <c r="T15">
        <f t="shared" si="4"/>
        <v>3</v>
      </c>
      <c r="U15" t="str">
        <f t="shared" si="5"/>
        <v>red marble</v>
      </c>
      <c r="V15" t="str">
        <f t="shared" si="6"/>
        <v>Red Marble</v>
      </c>
      <c r="W15" t="str">
        <f t="shared" ref="W15" si="18">LOWER(LEFT(V15,4))</f>
        <v xml:space="preserve">red </v>
      </c>
      <c r="X15" t="str">
        <f t="shared" si="7"/>
        <v>ed Marbl</v>
      </c>
      <c r="Y15" s="12">
        <f t="shared" si="8"/>
        <v>10</v>
      </c>
      <c r="Z15" t="str">
        <f t="shared" si="12"/>
        <v>red  ed Marbl</v>
      </c>
      <c r="AN15">
        <f t="shared" si="9"/>
        <v>1278000</v>
      </c>
      <c r="AO15" t="str">
        <f t="shared" si="0"/>
        <v>bengal</v>
      </c>
      <c r="AP15">
        <f t="shared" si="0"/>
        <v>31</v>
      </c>
      <c r="AQ15" t="str">
        <f t="shared" si="0"/>
        <v>XXXI</v>
      </c>
      <c r="AR15">
        <f t="shared" si="0"/>
        <v>5.6</v>
      </c>
    </row>
    <row r="16" spans="1:44" x14ac:dyDescent="0.25">
      <c r="A16" s="1">
        <v>9</v>
      </c>
      <c r="B16" s="52" t="s">
        <v>78</v>
      </c>
      <c r="C16" s="52"/>
      <c r="D16" s="52"/>
      <c r="E16" s="52"/>
      <c r="F16" s="1"/>
      <c r="G16" s="1"/>
      <c r="H16" s="14" t="s">
        <v>83</v>
      </c>
      <c r="I16" s="1">
        <v>225</v>
      </c>
      <c r="J16" s="1">
        <v>280</v>
      </c>
      <c r="K16" s="1">
        <f t="shared" si="10"/>
        <v>63000</v>
      </c>
      <c r="L16" t="s">
        <v>360</v>
      </c>
      <c r="M16">
        <v>29</v>
      </c>
      <c r="N16" t="str">
        <f t="shared" si="1"/>
        <v>XXIX</v>
      </c>
      <c r="O16">
        <f t="shared" si="2"/>
        <v>5.4</v>
      </c>
      <c r="S16">
        <f t="shared" si="3"/>
        <v>5</v>
      </c>
      <c r="T16">
        <f t="shared" si="4"/>
        <v>4</v>
      </c>
      <c r="U16" t="str">
        <f t="shared" si="5"/>
        <v>grey granite</v>
      </c>
      <c r="V16" t="str">
        <f t="shared" si="6"/>
        <v>Grey Granite</v>
      </c>
      <c r="W16" t="str">
        <f t="shared" ref="W16" si="19">UPPER(LEFT(V16,4))</f>
        <v>GREY</v>
      </c>
      <c r="X16" t="str">
        <f t="shared" si="7"/>
        <v>rey Gran</v>
      </c>
      <c r="Y16" s="12">
        <f t="shared" si="8"/>
        <v>12</v>
      </c>
      <c r="Z16" t="str">
        <f t="shared" si="12"/>
        <v>GREY rey Gran</v>
      </c>
      <c r="AN16">
        <f t="shared" si="9"/>
        <v>112000</v>
      </c>
      <c r="AO16" t="str">
        <f t="shared" si="0"/>
        <v>gujrat</v>
      </c>
      <c r="AP16">
        <f t="shared" si="0"/>
        <v>32</v>
      </c>
      <c r="AQ16" t="str">
        <f t="shared" si="0"/>
        <v>XXXII</v>
      </c>
      <c r="AR16">
        <f t="shared" si="0"/>
        <v>5.7</v>
      </c>
    </row>
    <row r="17" spans="1:44" x14ac:dyDescent="0.25">
      <c r="A17" s="1">
        <v>10</v>
      </c>
      <c r="B17" s="52" t="s">
        <v>77</v>
      </c>
      <c r="C17" s="52"/>
      <c r="D17" s="52"/>
      <c r="E17" s="52"/>
      <c r="F17" s="1"/>
      <c r="G17" s="1"/>
      <c r="H17" s="14" t="s">
        <v>84</v>
      </c>
      <c r="I17" s="1">
        <v>1000</v>
      </c>
      <c r="J17" s="1">
        <v>6080</v>
      </c>
      <c r="K17" s="1">
        <f t="shared" si="10"/>
        <v>6080000</v>
      </c>
      <c r="L17" t="s">
        <v>360</v>
      </c>
      <c r="M17">
        <v>30</v>
      </c>
      <c r="N17" t="str">
        <f t="shared" si="1"/>
        <v>XXX</v>
      </c>
      <c r="O17">
        <f t="shared" si="2"/>
        <v>5.5</v>
      </c>
      <c r="S17">
        <f t="shared" si="3"/>
        <v>5</v>
      </c>
      <c r="T17">
        <f t="shared" si="4"/>
        <v>0</v>
      </c>
      <c r="U17" t="str">
        <f t="shared" si="5"/>
        <v>red marble</v>
      </c>
      <c r="V17" t="str">
        <f t="shared" si="6"/>
        <v>Red Marble</v>
      </c>
      <c r="W17" t="str">
        <f t="shared" ref="W17" si="20">LOWER(LEFT(V17,4))</f>
        <v xml:space="preserve">red </v>
      </c>
      <c r="X17" t="str">
        <f t="shared" si="7"/>
        <v>ed Marbl</v>
      </c>
      <c r="Y17" s="12">
        <f t="shared" si="8"/>
        <v>10</v>
      </c>
      <c r="Z17" t="str">
        <f t="shared" si="12"/>
        <v>red  ed Marbl</v>
      </c>
      <c r="AN17">
        <f t="shared" si="9"/>
        <v>32500</v>
      </c>
      <c r="AO17" t="str">
        <f t="shared" si="0"/>
        <v>bihar</v>
      </c>
      <c r="AP17">
        <f t="shared" si="0"/>
        <v>33</v>
      </c>
      <c r="AQ17" t="str">
        <f t="shared" si="0"/>
        <v>XXXIII</v>
      </c>
      <c r="AR17">
        <f t="shared" si="0"/>
        <v>5.7</v>
      </c>
    </row>
    <row r="18" spans="1:44" x14ac:dyDescent="0.25">
      <c r="A18" s="1">
        <v>11</v>
      </c>
      <c r="B18" s="52" t="s">
        <v>78</v>
      </c>
      <c r="C18" s="52"/>
      <c r="D18" s="52"/>
      <c r="E18" s="52"/>
      <c r="F18" s="1"/>
      <c r="G18" s="1"/>
      <c r="H18" s="14" t="s">
        <v>83</v>
      </c>
      <c r="I18" s="1">
        <v>300</v>
      </c>
      <c r="J18" s="1">
        <v>4260</v>
      </c>
      <c r="K18" s="1">
        <f t="shared" si="10"/>
        <v>1278000</v>
      </c>
      <c r="L18" t="s">
        <v>358</v>
      </c>
      <c r="M18">
        <v>31</v>
      </c>
      <c r="N18" t="str">
        <f t="shared" si="1"/>
        <v>XXXI</v>
      </c>
      <c r="O18">
        <f t="shared" si="2"/>
        <v>5.6</v>
      </c>
      <c r="S18">
        <f t="shared" si="3"/>
        <v>5</v>
      </c>
      <c r="T18">
        <f t="shared" si="4"/>
        <v>1</v>
      </c>
      <c r="U18" t="str">
        <f t="shared" si="5"/>
        <v>grey granite</v>
      </c>
      <c r="V18" t="str">
        <f t="shared" si="6"/>
        <v>Grey Granite</v>
      </c>
      <c r="W18" t="str">
        <f t="shared" ref="W18" si="21">UPPER(LEFT(V18,4))</f>
        <v>GREY</v>
      </c>
      <c r="X18" t="str">
        <f t="shared" si="7"/>
        <v>rey Gran</v>
      </c>
      <c r="Y18" s="12">
        <f t="shared" si="8"/>
        <v>12</v>
      </c>
      <c r="Z18" t="str">
        <f t="shared" si="12"/>
        <v>GREY rey Gran</v>
      </c>
      <c r="AN18">
        <f t="shared" si="9"/>
        <v>136000</v>
      </c>
      <c r="AO18" t="str">
        <f t="shared" si="0"/>
        <v>maharastra</v>
      </c>
      <c r="AP18">
        <f t="shared" si="0"/>
        <v>34</v>
      </c>
      <c r="AQ18" t="str">
        <f t="shared" si="0"/>
        <v>XXXIV</v>
      </c>
      <c r="AR18">
        <f t="shared" si="0"/>
        <v>5.8</v>
      </c>
    </row>
    <row r="19" spans="1:44" x14ac:dyDescent="0.25">
      <c r="A19" s="1">
        <v>12</v>
      </c>
      <c r="B19" s="52" t="s">
        <v>77</v>
      </c>
      <c r="C19" s="52"/>
      <c r="D19" s="52"/>
      <c r="E19" s="52"/>
      <c r="F19" s="1"/>
      <c r="G19" s="1"/>
      <c r="H19" s="14" t="s">
        <v>84</v>
      </c>
      <c r="I19" s="1">
        <v>2000</v>
      </c>
      <c r="J19" s="1">
        <v>56</v>
      </c>
      <c r="K19" s="1">
        <f t="shared" si="10"/>
        <v>112000</v>
      </c>
      <c r="L19" t="s">
        <v>361</v>
      </c>
      <c r="M19">
        <v>32</v>
      </c>
      <c r="N19" t="str">
        <f t="shared" si="1"/>
        <v>XXXII</v>
      </c>
      <c r="O19">
        <f t="shared" si="2"/>
        <v>5.7</v>
      </c>
      <c r="S19">
        <f t="shared" si="3"/>
        <v>5</v>
      </c>
      <c r="T19">
        <f t="shared" si="4"/>
        <v>2</v>
      </c>
      <c r="U19" t="str">
        <f t="shared" si="5"/>
        <v>stainless steel taps</v>
      </c>
      <c r="V19" t="str">
        <f t="shared" si="6"/>
        <v>Stainless Steel Taps</v>
      </c>
      <c r="W19" t="str">
        <f t="shared" ref="W19" si="22">LOWER(LEFT(V19,4))</f>
        <v>stai</v>
      </c>
      <c r="X19" t="str">
        <f t="shared" si="7"/>
        <v>tainless</v>
      </c>
      <c r="Y19" s="12">
        <f t="shared" si="8"/>
        <v>20</v>
      </c>
      <c r="Z19" t="str">
        <f t="shared" si="12"/>
        <v>stai tainless</v>
      </c>
      <c r="AN19">
        <f t="shared" si="9"/>
        <v>1516000</v>
      </c>
      <c r="AO19" t="str">
        <f t="shared" si="0"/>
        <v>ap</v>
      </c>
      <c r="AP19">
        <f t="shared" si="0"/>
        <v>35</v>
      </c>
      <c r="AQ19" t="str">
        <f t="shared" si="0"/>
        <v>XXXV</v>
      </c>
      <c r="AR19">
        <f t="shared" si="0"/>
        <v>5.9</v>
      </c>
    </row>
    <row r="20" spans="1:44" x14ac:dyDescent="0.25">
      <c r="A20" s="1">
        <v>13</v>
      </c>
      <c r="B20" s="52" t="s">
        <v>67</v>
      </c>
      <c r="C20" s="52"/>
      <c r="D20" s="52"/>
      <c r="E20" s="52"/>
      <c r="F20" s="1"/>
      <c r="G20" s="1"/>
      <c r="H20" s="14" t="s">
        <v>85</v>
      </c>
      <c r="I20" s="1">
        <v>100</v>
      </c>
      <c r="J20" s="1">
        <v>325</v>
      </c>
      <c r="K20" s="1">
        <f t="shared" si="10"/>
        <v>32500</v>
      </c>
      <c r="L20" t="s">
        <v>360</v>
      </c>
      <c r="M20">
        <v>33</v>
      </c>
      <c r="N20" t="str">
        <f t="shared" si="1"/>
        <v>XXXIII</v>
      </c>
      <c r="O20">
        <f t="shared" si="2"/>
        <v>5.7</v>
      </c>
      <c r="S20">
        <f t="shared" si="3"/>
        <v>5</v>
      </c>
      <c r="T20">
        <f t="shared" si="4"/>
        <v>3</v>
      </c>
      <c r="U20" t="str">
        <f t="shared" si="5"/>
        <v>iron nails</v>
      </c>
      <c r="V20" t="str">
        <f t="shared" si="6"/>
        <v>Iron Nails</v>
      </c>
      <c r="W20" t="str">
        <f t="shared" ref="W20" si="23">UPPER(LEFT(V20,4))</f>
        <v>IRON</v>
      </c>
      <c r="X20" t="str">
        <f t="shared" si="7"/>
        <v>ron Nail</v>
      </c>
      <c r="Y20" s="12">
        <f t="shared" si="8"/>
        <v>10</v>
      </c>
      <c r="Z20" t="str">
        <f t="shared" si="12"/>
        <v>IRON ron Nail</v>
      </c>
      <c r="AN20">
        <f t="shared" si="9"/>
        <v>162400</v>
      </c>
      <c r="AO20" t="str">
        <f t="shared" si="0"/>
        <v>mp</v>
      </c>
      <c r="AP20">
        <f t="shared" si="0"/>
        <v>36</v>
      </c>
      <c r="AQ20" t="str">
        <f t="shared" si="0"/>
        <v>XXXVI</v>
      </c>
      <c r="AR20">
        <f t="shared" si="0"/>
        <v>6</v>
      </c>
    </row>
    <row r="21" spans="1:44" x14ac:dyDescent="0.25">
      <c r="A21" s="1">
        <v>14</v>
      </c>
      <c r="B21" s="52" t="s">
        <v>75</v>
      </c>
      <c r="C21" s="52"/>
      <c r="D21" s="52"/>
      <c r="E21" s="52"/>
      <c r="F21" s="1"/>
      <c r="G21" s="1"/>
      <c r="H21" s="14" t="s">
        <v>94</v>
      </c>
      <c r="I21" s="1">
        <v>200</v>
      </c>
      <c r="J21" s="1">
        <v>680</v>
      </c>
      <c r="K21" s="1">
        <f t="shared" si="10"/>
        <v>136000</v>
      </c>
      <c r="L21" t="s">
        <v>359</v>
      </c>
      <c r="M21">
        <v>34</v>
      </c>
      <c r="N21" t="str">
        <f t="shared" si="1"/>
        <v>XXXIV</v>
      </c>
      <c r="O21">
        <f t="shared" si="2"/>
        <v>5.8</v>
      </c>
      <c r="S21">
        <f t="shared" si="3"/>
        <v>5</v>
      </c>
      <c r="T21">
        <f t="shared" si="4"/>
        <v>4</v>
      </c>
      <c r="U21" t="str">
        <f t="shared" si="5"/>
        <v>larrish comode 512</v>
      </c>
      <c r="V21" t="str">
        <f t="shared" si="6"/>
        <v>Larrish Comode 512</v>
      </c>
      <c r="W21" t="str">
        <f t="shared" ref="W21" si="24">LOWER(LEFT(V21,4))</f>
        <v>larr</v>
      </c>
      <c r="X21" t="str">
        <f t="shared" si="7"/>
        <v>arrish C</v>
      </c>
      <c r="Y21" s="12">
        <f t="shared" si="8"/>
        <v>18</v>
      </c>
      <c r="Z21" t="str">
        <f t="shared" si="12"/>
        <v>larr arrish C</v>
      </c>
      <c r="AN21">
        <f t="shared" si="9"/>
        <v>1968000</v>
      </c>
      <c r="AO21" t="str">
        <f t="shared" si="0"/>
        <v>up</v>
      </c>
      <c r="AP21">
        <f t="shared" si="0"/>
        <v>37</v>
      </c>
      <c r="AQ21" t="str">
        <f t="shared" si="0"/>
        <v>XXXVII</v>
      </c>
      <c r="AR21">
        <f t="shared" si="0"/>
        <v>6.1</v>
      </c>
    </row>
    <row r="22" spans="1:44" x14ac:dyDescent="0.25">
      <c r="A22" s="1">
        <v>15</v>
      </c>
      <c r="B22" s="52" t="s">
        <v>68</v>
      </c>
      <c r="C22" s="52"/>
      <c r="D22" s="52"/>
      <c r="E22" s="52"/>
      <c r="F22" s="1"/>
      <c r="G22" s="1"/>
      <c r="H22" s="14" t="s">
        <v>90</v>
      </c>
      <c r="I22" s="1">
        <v>200</v>
      </c>
      <c r="J22" s="1">
        <v>7580</v>
      </c>
      <c r="K22" s="1">
        <f t="shared" si="10"/>
        <v>1516000</v>
      </c>
      <c r="L22" t="s">
        <v>357</v>
      </c>
      <c r="M22">
        <v>35</v>
      </c>
      <c r="N22" t="str">
        <f t="shared" si="1"/>
        <v>XXXV</v>
      </c>
      <c r="O22">
        <f t="shared" si="2"/>
        <v>5.9</v>
      </c>
      <c r="S22">
        <f t="shared" si="3"/>
        <v>5</v>
      </c>
      <c r="T22">
        <f t="shared" si="4"/>
        <v>0</v>
      </c>
      <c r="U22" t="str">
        <f t="shared" si="5"/>
        <v>connection pipe</v>
      </c>
      <c r="V22" t="str">
        <f t="shared" si="6"/>
        <v>Connection Pipe</v>
      </c>
      <c r="W22" t="str">
        <f t="shared" ref="W22" si="25">UPPER(LEFT(V22,4))</f>
        <v>CONN</v>
      </c>
      <c r="X22" t="str">
        <f t="shared" si="7"/>
        <v>onnectio</v>
      </c>
      <c r="Y22" s="12">
        <f t="shared" si="8"/>
        <v>15</v>
      </c>
      <c r="Z22" t="str">
        <f t="shared" si="12"/>
        <v>CONN onnectio</v>
      </c>
      <c r="AN22">
        <f t="shared" si="9"/>
        <v>828000</v>
      </c>
      <c r="AO22" t="str">
        <f t="shared" si="0"/>
        <v>up</v>
      </c>
      <c r="AP22">
        <f t="shared" si="0"/>
        <v>38</v>
      </c>
      <c r="AQ22" t="str">
        <f t="shared" si="0"/>
        <v>XXXVIII</v>
      </c>
      <c r="AR22">
        <f t="shared" si="0"/>
        <v>6.2</v>
      </c>
    </row>
    <row r="23" spans="1:44" x14ac:dyDescent="0.25">
      <c r="A23" s="1">
        <v>16</v>
      </c>
      <c r="B23" s="52" t="s">
        <v>69</v>
      </c>
      <c r="C23" s="52"/>
      <c r="D23" s="52"/>
      <c r="E23" s="52"/>
      <c r="F23" s="1"/>
      <c r="G23" s="1"/>
      <c r="H23" s="14" t="s">
        <v>86</v>
      </c>
      <c r="I23" s="1">
        <v>200</v>
      </c>
      <c r="J23" s="1">
        <v>812</v>
      </c>
      <c r="K23" s="1">
        <f t="shared" si="10"/>
        <v>162400</v>
      </c>
      <c r="L23" t="s">
        <v>355</v>
      </c>
      <c r="M23">
        <v>36</v>
      </c>
      <c r="N23" t="str">
        <f t="shared" si="1"/>
        <v>XXXVI</v>
      </c>
      <c r="O23">
        <f t="shared" si="2"/>
        <v>6</v>
      </c>
      <c r="S23">
        <f t="shared" si="3"/>
        <v>6</v>
      </c>
      <c r="T23">
        <f t="shared" si="4"/>
        <v>0</v>
      </c>
      <c r="U23" t="str">
        <f t="shared" si="5"/>
        <v>berger paints 20 ltr</v>
      </c>
      <c r="V23" t="str">
        <f t="shared" si="6"/>
        <v>Berger Paints 20 Ltr</v>
      </c>
      <c r="W23" t="str">
        <f t="shared" ref="W23" si="26">LOWER(LEFT(V23,4))</f>
        <v>berg</v>
      </c>
      <c r="X23" t="str">
        <f t="shared" si="7"/>
        <v>erger Pa</v>
      </c>
      <c r="Y23" s="12">
        <f t="shared" si="8"/>
        <v>20</v>
      </c>
      <c r="Z23" t="str">
        <f t="shared" si="12"/>
        <v>berg erger Pa</v>
      </c>
      <c r="AE23" t="s">
        <v>391</v>
      </c>
      <c r="AF23" t="s">
        <v>392</v>
      </c>
      <c r="AG23" t="s">
        <v>393</v>
      </c>
      <c r="AN23">
        <f t="shared" si="9"/>
        <v>350000</v>
      </c>
      <c r="AO23" t="str">
        <f t="shared" ref="AO23:AO35" si="27">LOOKUP($AN$5,$A$8:$A$37,L24:L53)</f>
        <v>tamilnadu</v>
      </c>
      <c r="AP23">
        <f t="shared" ref="AP23:AP35" si="28">LOOKUP($AN$5,$A$8:$A$37,M24:M53)</f>
        <v>39</v>
      </c>
      <c r="AQ23" t="str">
        <f t="shared" ref="AQ23:AQ35" si="29">LOOKUP($AN$5,$A$8:$A$37,N24:N53)</f>
        <v>XXXIX</v>
      </c>
      <c r="AR23">
        <f t="shared" ref="AR23:AR35" si="30">LOOKUP($AN$5,$A$8:$A$37,O24:O53)</f>
        <v>6.2</v>
      </c>
    </row>
    <row r="24" spans="1:44" x14ac:dyDescent="0.25">
      <c r="A24" s="1">
        <v>17</v>
      </c>
      <c r="B24" s="52" t="s">
        <v>23</v>
      </c>
      <c r="C24" s="52"/>
      <c r="D24" s="52"/>
      <c r="E24" s="52"/>
      <c r="F24" s="1"/>
      <c r="G24" s="1"/>
      <c r="H24" s="14" t="s">
        <v>97</v>
      </c>
      <c r="I24" s="1">
        <v>600</v>
      </c>
      <c r="J24" s="1">
        <v>3280</v>
      </c>
      <c r="K24" s="1">
        <f t="shared" si="10"/>
        <v>1968000</v>
      </c>
      <c r="L24" t="s">
        <v>354</v>
      </c>
      <c r="M24">
        <v>37</v>
      </c>
      <c r="N24" t="str">
        <f t="shared" si="1"/>
        <v>XXXVII</v>
      </c>
      <c r="O24">
        <f t="shared" si="2"/>
        <v>6.1</v>
      </c>
      <c r="S24">
        <f t="shared" si="3"/>
        <v>6</v>
      </c>
      <c r="T24">
        <f t="shared" si="4"/>
        <v>1</v>
      </c>
      <c r="U24" t="str">
        <f t="shared" si="5"/>
        <v>red marble</v>
      </c>
      <c r="V24" t="str">
        <f t="shared" si="6"/>
        <v>Red Marble</v>
      </c>
      <c r="W24" t="str">
        <f t="shared" ref="W24" si="31">UPPER(LEFT(V24,4))</f>
        <v xml:space="preserve">RED </v>
      </c>
      <c r="X24" t="str">
        <f t="shared" si="7"/>
        <v>ed Marbl</v>
      </c>
      <c r="Y24" s="12">
        <f t="shared" si="8"/>
        <v>10</v>
      </c>
      <c r="Z24" t="str">
        <f t="shared" si="12"/>
        <v>RED  ed Marbl</v>
      </c>
      <c r="AE24" t="s">
        <v>394</v>
      </c>
      <c r="AF24" t="s">
        <v>398</v>
      </c>
      <c r="AG24">
        <v>815</v>
      </c>
      <c r="AN24">
        <f t="shared" si="9"/>
        <v>341040</v>
      </c>
      <c r="AO24" t="str">
        <f t="shared" si="27"/>
        <v>up</v>
      </c>
      <c r="AP24">
        <f t="shared" si="28"/>
        <v>40</v>
      </c>
      <c r="AQ24" t="str">
        <f t="shared" si="29"/>
        <v>XL</v>
      </c>
      <c r="AR24">
        <f t="shared" si="30"/>
        <v>6.3</v>
      </c>
    </row>
    <row r="25" spans="1:44" x14ac:dyDescent="0.25">
      <c r="A25" s="1">
        <v>18</v>
      </c>
      <c r="B25" s="52" t="s">
        <v>78</v>
      </c>
      <c r="C25" s="52"/>
      <c r="D25" s="52"/>
      <c r="E25" s="52"/>
      <c r="F25" s="1"/>
      <c r="G25" s="1"/>
      <c r="H25" s="14" t="s">
        <v>83</v>
      </c>
      <c r="I25" s="1">
        <v>300</v>
      </c>
      <c r="J25" s="1">
        <v>2760</v>
      </c>
      <c r="K25" s="1">
        <f t="shared" si="10"/>
        <v>828000</v>
      </c>
      <c r="L25" t="s">
        <v>354</v>
      </c>
      <c r="M25">
        <v>38</v>
      </c>
      <c r="N25" t="str">
        <f t="shared" si="1"/>
        <v>XXXVIII</v>
      </c>
      <c r="O25">
        <f t="shared" si="2"/>
        <v>6.2</v>
      </c>
      <c r="S25">
        <f t="shared" si="3"/>
        <v>6</v>
      </c>
      <c r="T25">
        <f t="shared" si="4"/>
        <v>2</v>
      </c>
      <c r="U25" t="str">
        <f t="shared" si="5"/>
        <v>steel pipe</v>
      </c>
      <c r="V25" t="str">
        <f t="shared" si="6"/>
        <v>Steel Pipe</v>
      </c>
      <c r="W25" t="str">
        <f t="shared" ref="W25" si="32">LOWER(LEFT(V25,4))</f>
        <v>stee</v>
      </c>
      <c r="X25" t="str">
        <f t="shared" si="7"/>
        <v>teel Pip</v>
      </c>
      <c r="Y25" s="12">
        <f t="shared" si="8"/>
        <v>10</v>
      </c>
      <c r="Z25" t="str">
        <f t="shared" si="12"/>
        <v>stee teel Pip</v>
      </c>
      <c r="AE25" t="s">
        <v>395</v>
      </c>
      <c r="AF25" t="s">
        <v>399</v>
      </c>
      <c r="AG25">
        <v>454</v>
      </c>
      <c r="AN25">
        <f t="shared" si="9"/>
        <v>4500</v>
      </c>
      <c r="AO25" t="str">
        <f t="shared" si="27"/>
        <v>mp</v>
      </c>
      <c r="AP25">
        <f t="shared" si="28"/>
        <v>41</v>
      </c>
      <c r="AQ25" t="str">
        <f t="shared" si="29"/>
        <v>XLI</v>
      </c>
      <c r="AR25">
        <f t="shared" si="30"/>
        <v>6.4</v>
      </c>
    </row>
    <row r="26" spans="1:44" x14ac:dyDescent="0.25">
      <c r="A26" s="1">
        <v>19</v>
      </c>
      <c r="B26" s="52" t="s">
        <v>70</v>
      </c>
      <c r="C26" s="52"/>
      <c r="D26" s="52"/>
      <c r="E26" s="52"/>
      <c r="F26" s="1"/>
      <c r="G26" s="1"/>
      <c r="H26" s="14" t="s">
        <v>91</v>
      </c>
      <c r="I26" s="1">
        <v>5000</v>
      </c>
      <c r="J26" s="1">
        <v>70</v>
      </c>
      <c r="K26" s="1">
        <f t="shared" si="10"/>
        <v>350000</v>
      </c>
      <c r="L26" t="s">
        <v>362</v>
      </c>
      <c r="M26">
        <v>39</v>
      </c>
      <c r="N26" t="str">
        <f t="shared" si="1"/>
        <v>XXXIX</v>
      </c>
      <c r="O26">
        <f t="shared" si="2"/>
        <v>6.2</v>
      </c>
      <c r="S26">
        <f t="shared" si="3"/>
        <v>6</v>
      </c>
      <c r="T26">
        <f t="shared" si="4"/>
        <v>3</v>
      </c>
      <c r="U26" t="str">
        <f t="shared" si="5"/>
        <v>pvc pipe 4 inch</v>
      </c>
      <c r="V26" t="str">
        <f t="shared" si="6"/>
        <v>Pvc Pipe 4 Inch</v>
      </c>
      <c r="W26" t="str">
        <f t="shared" ref="W26" si="33">UPPER(LEFT(V26,4))</f>
        <v xml:space="preserve">PVC </v>
      </c>
      <c r="X26" t="str">
        <f t="shared" si="7"/>
        <v xml:space="preserve">vc Pipe </v>
      </c>
      <c r="Y26" s="12">
        <f t="shared" si="8"/>
        <v>15</v>
      </c>
      <c r="Z26" t="str">
        <f t="shared" si="12"/>
        <v xml:space="preserve">PVC  vc Pipe </v>
      </c>
      <c r="AE26" t="s">
        <v>396</v>
      </c>
      <c r="AF26" t="s">
        <v>398</v>
      </c>
      <c r="AG26">
        <v>432</v>
      </c>
      <c r="AN26">
        <f t="shared" si="9"/>
        <v>223550</v>
      </c>
      <c r="AO26" t="str">
        <f t="shared" si="27"/>
        <v>bihar</v>
      </c>
      <c r="AP26">
        <f t="shared" si="28"/>
        <v>42</v>
      </c>
      <c r="AQ26" t="str">
        <f t="shared" si="29"/>
        <v>XLII</v>
      </c>
      <c r="AR26">
        <f t="shared" si="30"/>
        <v>6.5</v>
      </c>
    </row>
    <row r="27" spans="1:44" x14ac:dyDescent="0.25">
      <c r="A27" s="1">
        <v>20</v>
      </c>
      <c r="B27" s="52" t="s">
        <v>71</v>
      </c>
      <c r="C27" s="52"/>
      <c r="D27" s="52"/>
      <c r="E27" s="52"/>
      <c r="F27" s="1"/>
      <c r="G27" s="1"/>
      <c r="H27" s="14" t="s">
        <v>92</v>
      </c>
      <c r="I27" s="1">
        <v>980</v>
      </c>
      <c r="J27" s="1">
        <v>348</v>
      </c>
      <c r="K27" s="1">
        <f t="shared" si="10"/>
        <v>341040</v>
      </c>
      <c r="L27" t="s">
        <v>354</v>
      </c>
      <c r="M27">
        <v>40</v>
      </c>
      <c r="N27" t="str">
        <f t="shared" si="1"/>
        <v>XL</v>
      </c>
      <c r="O27">
        <f t="shared" si="2"/>
        <v>6.3</v>
      </c>
      <c r="S27">
        <f t="shared" si="3"/>
        <v>6</v>
      </c>
      <c r="T27">
        <f t="shared" si="4"/>
        <v>4</v>
      </c>
      <c r="U27" t="str">
        <f t="shared" si="5"/>
        <v>red marble</v>
      </c>
      <c r="V27" t="str">
        <f t="shared" si="6"/>
        <v>Red Marble</v>
      </c>
      <c r="W27" t="str">
        <f t="shared" ref="W27" si="34">LOWER(LEFT(V27,4))</f>
        <v xml:space="preserve">red </v>
      </c>
      <c r="X27" t="str">
        <f t="shared" si="7"/>
        <v>ed Marbl</v>
      </c>
      <c r="Y27" s="12">
        <f t="shared" si="8"/>
        <v>10</v>
      </c>
      <c r="Z27" t="str">
        <f t="shared" si="12"/>
        <v>red  ed Marbl</v>
      </c>
      <c r="AE27" t="s">
        <v>397</v>
      </c>
      <c r="AF27" t="s">
        <v>400</v>
      </c>
      <c r="AG27">
        <v>442</v>
      </c>
      <c r="AN27">
        <f t="shared" si="9"/>
        <v>680000</v>
      </c>
      <c r="AO27" t="str">
        <f t="shared" si="27"/>
        <v>up</v>
      </c>
      <c r="AP27">
        <f t="shared" si="28"/>
        <v>43</v>
      </c>
      <c r="AQ27" t="str">
        <f t="shared" si="29"/>
        <v>XLIII</v>
      </c>
      <c r="AR27">
        <f t="shared" si="30"/>
        <v>6.6</v>
      </c>
    </row>
    <row r="28" spans="1:44" x14ac:dyDescent="0.25">
      <c r="A28" s="1">
        <v>21</v>
      </c>
      <c r="B28" s="52" t="s">
        <v>78</v>
      </c>
      <c r="C28" s="52"/>
      <c r="D28" s="52"/>
      <c r="E28" s="52"/>
      <c r="F28" s="1"/>
      <c r="G28" s="1"/>
      <c r="H28" s="14" t="s">
        <v>83</v>
      </c>
      <c r="I28" s="1">
        <v>50</v>
      </c>
      <c r="J28" s="1">
        <v>90</v>
      </c>
      <c r="K28" s="1">
        <f t="shared" si="10"/>
        <v>4500</v>
      </c>
      <c r="L28" t="s">
        <v>355</v>
      </c>
      <c r="M28">
        <v>41</v>
      </c>
      <c r="N28" t="str">
        <f t="shared" si="1"/>
        <v>XLI</v>
      </c>
      <c r="O28">
        <f t="shared" si="2"/>
        <v>6.4</v>
      </c>
      <c r="S28">
        <f t="shared" si="3"/>
        <v>6</v>
      </c>
      <c r="T28">
        <f t="shared" si="4"/>
        <v>5</v>
      </c>
      <c r="U28" t="str">
        <f t="shared" si="5"/>
        <v>marco tiles</v>
      </c>
      <c r="V28" t="str">
        <f t="shared" si="6"/>
        <v>Marco Tiles</v>
      </c>
      <c r="W28" t="str">
        <f t="shared" ref="W28" si="35">UPPER(LEFT(V28,4))</f>
        <v>MARC</v>
      </c>
      <c r="X28" t="str">
        <f t="shared" si="7"/>
        <v>arco Til</v>
      </c>
      <c r="Y28" s="12">
        <f t="shared" si="8"/>
        <v>11</v>
      </c>
      <c r="Z28" t="str">
        <f t="shared" si="12"/>
        <v>MARC arco Til</v>
      </c>
      <c r="AE28" t="s">
        <v>394</v>
      </c>
      <c r="AF28" t="s">
        <v>398</v>
      </c>
      <c r="AG28">
        <v>750</v>
      </c>
      <c r="AN28">
        <f t="shared" si="9"/>
        <v>97500</v>
      </c>
      <c r="AO28" t="str">
        <f t="shared" si="27"/>
        <v>tamilnadu</v>
      </c>
      <c r="AP28">
        <f t="shared" si="28"/>
        <v>44</v>
      </c>
      <c r="AQ28" t="str">
        <f t="shared" si="29"/>
        <v>XLIV</v>
      </c>
      <c r="AR28">
        <f t="shared" si="30"/>
        <v>6.6</v>
      </c>
    </row>
    <row r="29" spans="1:44" x14ac:dyDescent="0.25">
      <c r="A29" s="1">
        <v>22</v>
      </c>
      <c r="B29" s="52" t="s">
        <v>23</v>
      </c>
      <c r="C29" s="52"/>
      <c r="D29" s="52"/>
      <c r="E29" s="52"/>
      <c r="F29" s="1"/>
      <c r="G29" s="1"/>
      <c r="H29" s="14" t="s">
        <v>93</v>
      </c>
      <c r="I29" s="1">
        <v>425</v>
      </c>
      <c r="J29" s="1">
        <v>526</v>
      </c>
      <c r="K29" s="1">
        <f t="shared" si="10"/>
        <v>223550</v>
      </c>
      <c r="L29" t="s">
        <v>360</v>
      </c>
      <c r="M29">
        <v>42</v>
      </c>
      <c r="N29" t="str">
        <f t="shared" si="1"/>
        <v>XLII</v>
      </c>
      <c r="O29">
        <f t="shared" si="2"/>
        <v>6.5</v>
      </c>
      <c r="S29">
        <f t="shared" si="3"/>
        <v>6</v>
      </c>
      <c r="T29">
        <f t="shared" si="4"/>
        <v>0</v>
      </c>
      <c r="U29" t="str">
        <f t="shared" si="5"/>
        <v>grey granite</v>
      </c>
      <c r="V29" t="str">
        <f t="shared" si="6"/>
        <v>Grey Granite</v>
      </c>
      <c r="W29" t="str">
        <f t="shared" ref="W29" si="36">LOWER(LEFT(V29,4))</f>
        <v>grey</v>
      </c>
      <c r="X29" t="str">
        <f t="shared" si="7"/>
        <v>rey Gran</v>
      </c>
      <c r="Y29" s="12">
        <f t="shared" si="8"/>
        <v>12</v>
      </c>
      <c r="Z29" t="str">
        <f t="shared" si="12"/>
        <v>grey rey Gran</v>
      </c>
      <c r="AE29" t="s">
        <v>395</v>
      </c>
      <c r="AF29" t="s">
        <v>398</v>
      </c>
      <c r="AG29">
        <v>857</v>
      </c>
      <c r="AN29">
        <f t="shared" si="9"/>
        <v>240000</v>
      </c>
      <c r="AO29" t="str">
        <f t="shared" si="27"/>
        <v>tamilnadu</v>
      </c>
      <c r="AP29">
        <f t="shared" si="28"/>
        <v>45</v>
      </c>
      <c r="AQ29" t="str">
        <f t="shared" si="29"/>
        <v>XLV</v>
      </c>
      <c r="AR29">
        <f t="shared" si="30"/>
        <v>6.7</v>
      </c>
    </row>
    <row r="30" spans="1:44" x14ac:dyDescent="0.25">
      <c r="A30" s="1">
        <v>23</v>
      </c>
      <c r="B30" s="52" t="s">
        <v>77</v>
      </c>
      <c r="C30" s="52"/>
      <c r="D30" s="52"/>
      <c r="E30" s="52"/>
      <c r="F30" s="1"/>
      <c r="G30" s="1"/>
      <c r="H30" s="14" t="s">
        <v>84</v>
      </c>
      <c r="I30" s="1">
        <v>5000</v>
      </c>
      <c r="J30" s="1">
        <v>136</v>
      </c>
      <c r="K30" s="1">
        <f t="shared" si="10"/>
        <v>680000</v>
      </c>
      <c r="L30" t="s">
        <v>354</v>
      </c>
      <c r="M30">
        <v>43</v>
      </c>
      <c r="N30" t="str">
        <f t="shared" si="1"/>
        <v>XLIII</v>
      </c>
      <c r="O30">
        <f t="shared" si="2"/>
        <v>6.6</v>
      </c>
      <c r="S30">
        <f t="shared" si="3"/>
        <v>6</v>
      </c>
      <c r="T30">
        <f t="shared" si="4"/>
        <v>1</v>
      </c>
      <c r="U30" t="str">
        <f t="shared" si="5"/>
        <v>iron nails</v>
      </c>
      <c r="V30" t="str">
        <f t="shared" si="6"/>
        <v>Iron Nails</v>
      </c>
      <c r="W30" t="str">
        <f t="shared" ref="W30" si="37">UPPER(LEFT(V30,4))</f>
        <v>IRON</v>
      </c>
      <c r="X30" t="str">
        <f t="shared" si="7"/>
        <v>ron Nail</v>
      </c>
      <c r="Y30" s="12">
        <f t="shared" si="8"/>
        <v>10</v>
      </c>
      <c r="Z30" t="str">
        <f t="shared" si="12"/>
        <v>IRON ron Nail</v>
      </c>
      <c r="AE30" t="s">
        <v>396</v>
      </c>
      <c r="AF30" t="s">
        <v>401</v>
      </c>
      <c r="AG30">
        <v>418</v>
      </c>
      <c r="AN30">
        <f t="shared" si="9"/>
        <v>1575000</v>
      </c>
      <c r="AO30" t="str">
        <f t="shared" si="27"/>
        <v>gujrat</v>
      </c>
      <c r="AP30">
        <f t="shared" si="28"/>
        <v>46</v>
      </c>
      <c r="AQ30" t="str">
        <f t="shared" si="29"/>
        <v>XLVI</v>
      </c>
      <c r="AR30">
        <f t="shared" si="30"/>
        <v>6.8</v>
      </c>
    </row>
    <row r="31" spans="1:44" x14ac:dyDescent="0.25">
      <c r="A31" s="1">
        <v>24</v>
      </c>
      <c r="B31" s="52" t="s">
        <v>75</v>
      </c>
      <c r="C31" s="52"/>
      <c r="D31" s="52"/>
      <c r="E31" s="52"/>
      <c r="F31" s="1"/>
      <c r="G31" s="1"/>
      <c r="H31" s="14" t="s">
        <v>94</v>
      </c>
      <c r="I31" s="1">
        <v>300</v>
      </c>
      <c r="J31" s="1">
        <v>325</v>
      </c>
      <c r="K31" s="1">
        <f t="shared" si="10"/>
        <v>97500</v>
      </c>
      <c r="L31" t="s">
        <v>362</v>
      </c>
      <c r="M31">
        <v>44</v>
      </c>
      <c r="N31" t="str">
        <f t="shared" si="1"/>
        <v>XLIV</v>
      </c>
      <c r="O31">
        <f t="shared" si="2"/>
        <v>6.6</v>
      </c>
      <c r="S31">
        <f t="shared" si="3"/>
        <v>6</v>
      </c>
      <c r="T31">
        <f t="shared" si="4"/>
        <v>2</v>
      </c>
      <c r="U31" t="str">
        <f t="shared" si="5"/>
        <v>tata steel sinks</v>
      </c>
      <c r="V31" t="str">
        <f t="shared" si="6"/>
        <v>Tata Steel Sinks</v>
      </c>
      <c r="W31" t="str">
        <f t="shared" ref="W31" si="38">LOWER(LEFT(V31,4))</f>
        <v>tata</v>
      </c>
      <c r="X31" t="str">
        <f t="shared" si="7"/>
        <v>ata Stee</v>
      </c>
      <c r="Y31" s="12">
        <f t="shared" si="8"/>
        <v>16</v>
      </c>
      <c r="Z31" t="str">
        <f t="shared" si="12"/>
        <v>tata ata Stee</v>
      </c>
      <c r="AE31" t="s">
        <v>397</v>
      </c>
      <c r="AF31" t="s">
        <v>400</v>
      </c>
      <c r="AG31">
        <v>688</v>
      </c>
      <c r="AN31">
        <f t="shared" si="9"/>
        <v>2152640</v>
      </c>
      <c r="AO31" t="str">
        <f t="shared" si="27"/>
        <v>bihar</v>
      </c>
      <c r="AP31">
        <f t="shared" si="28"/>
        <v>47</v>
      </c>
      <c r="AQ31" t="str">
        <f t="shared" si="29"/>
        <v>XLVII</v>
      </c>
      <c r="AR31">
        <f t="shared" si="30"/>
        <v>6.9</v>
      </c>
    </row>
    <row r="32" spans="1:44" x14ac:dyDescent="0.25">
      <c r="A32" s="1">
        <v>25</v>
      </c>
      <c r="B32" s="52" t="s">
        <v>72</v>
      </c>
      <c r="C32" s="52"/>
      <c r="D32" s="52"/>
      <c r="E32" s="52"/>
      <c r="F32" s="1"/>
      <c r="G32" s="1"/>
      <c r="H32" s="14" t="s">
        <v>95</v>
      </c>
      <c r="I32" s="1">
        <v>300</v>
      </c>
      <c r="J32" s="1">
        <v>800</v>
      </c>
      <c r="K32" s="1">
        <f t="shared" si="10"/>
        <v>240000</v>
      </c>
      <c r="L32" t="s">
        <v>362</v>
      </c>
      <c r="M32">
        <v>45</v>
      </c>
      <c r="N32" t="str">
        <f t="shared" si="1"/>
        <v>XLV</v>
      </c>
      <c r="O32">
        <f t="shared" si="2"/>
        <v>6.7</v>
      </c>
      <c r="S32">
        <f t="shared" si="3"/>
        <v>6</v>
      </c>
      <c r="T32">
        <f t="shared" si="4"/>
        <v>3</v>
      </c>
      <c r="U32" t="str">
        <f t="shared" si="5"/>
        <v>connection pipes</v>
      </c>
      <c r="V32" t="str">
        <f t="shared" si="6"/>
        <v>Connection Pipes</v>
      </c>
      <c r="W32" t="str">
        <f t="shared" ref="W32" si="39">UPPER(LEFT(V32,4))</f>
        <v>CONN</v>
      </c>
      <c r="X32" t="str">
        <f t="shared" si="7"/>
        <v>onnectio</v>
      </c>
      <c r="Y32" s="12">
        <f t="shared" si="8"/>
        <v>16</v>
      </c>
      <c r="Z32" t="str">
        <f t="shared" si="12"/>
        <v>CONN onnectio</v>
      </c>
      <c r="AN32">
        <f t="shared" si="9"/>
        <v>908000</v>
      </c>
      <c r="AO32" t="str">
        <f t="shared" si="27"/>
        <v>bengal</v>
      </c>
      <c r="AP32">
        <f t="shared" si="28"/>
        <v>48</v>
      </c>
      <c r="AQ32" t="str">
        <f t="shared" si="29"/>
        <v>XLVIII</v>
      </c>
      <c r="AR32">
        <f t="shared" si="30"/>
        <v>6.9</v>
      </c>
    </row>
    <row r="33" spans="1:44" x14ac:dyDescent="0.25">
      <c r="A33" s="1">
        <v>26</v>
      </c>
      <c r="B33" s="52" t="s">
        <v>73</v>
      </c>
      <c r="C33" s="52"/>
      <c r="D33" s="52"/>
      <c r="E33" s="52"/>
      <c r="F33" s="1"/>
      <c r="G33" s="1"/>
      <c r="H33" s="14" t="s">
        <v>96</v>
      </c>
      <c r="I33" s="1">
        <v>2500</v>
      </c>
      <c r="J33" s="1">
        <v>630</v>
      </c>
      <c r="K33" s="1">
        <f t="shared" si="10"/>
        <v>1575000</v>
      </c>
      <c r="L33" t="s">
        <v>361</v>
      </c>
      <c r="M33">
        <v>46</v>
      </c>
      <c r="N33" t="str">
        <f t="shared" si="1"/>
        <v>XLVI</v>
      </c>
      <c r="O33">
        <f t="shared" si="2"/>
        <v>6.8</v>
      </c>
      <c r="S33">
        <f t="shared" si="3"/>
        <v>6</v>
      </c>
      <c r="T33">
        <f t="shared" si="4"/>
        <v>4</v>
      </c>
      <c r="U33" t="str">
        <f t="shared" si="5"/>
        <v>red granite</v>
      </c>
      <c r="V33" t="str">
        <f t="shared" si="6"/>
        <v>Red Granite</v>
      </c>
      <c r="W33" t="str">
        <f t="shared" ref="W33" si="40">LOWER(LEFT(V33,4))</f>
        <v xml:space="preserve">red </v>
      </c>
      <c r="X33" t="str">
        <f t="shared" si="7"/>
        <v>ed Grani</v>
      </c>
      <c r="Y33" s="12">
        <f t="shared" si="8"/>
        <v>11</v>
      </c>
      <c r="Z33" t="str">
        <f t="shared" si="12"/>
        <v>red  ed Grani</v>
      </c>
      <c r="AN33">
        <f t="shared" si="9"/>
        <v>625000</v>
      </c>
      <c r="AO33" t="str">
        <f t="shared" si="27"/>
        <v>mp</v>
      </c>
      <c r="AP33">
        <f t="shared" si="28"/>
        <v>49</v>
      </c>
      <c r="AQ33" t="str">
        <f t="shared" si="29"/>
        <v>XLIX</v>
      </c>
      <c r="AR33">
        <f t="shared" si="30"/>
        <v>7</v>
      </c>
    </row>
    <row r="34" spans="1:44" x14ac:dyDescent="0.25">
      <c r="A34" s="1">
        <v>27</v>
      </c>
      <c r="B34" s="52" t="s">
        <v>74</v>
      </c>
      <c r="C34" s="52"/>
      <c r="D34" s="52"/>
      <c r="E34" s="52"/>
      <c r="F34" s="1"/>
      <c r="G34" s="1"/>
      <c r="H34" s="14" t="s">
        <v>89</v>
      </c>
      <c r="I34" s="1">
        <v>560</v>
      </c>
      <c r="J34" s="1">
        <v>3844</v>
      </c>
      <c r="K34" s="1">
        <f t="shared" si="10"/>
        <v>2152640</v>
      </c>
      <c r="L34" t="s">
        <v>360</v>
      </c>
      <c r="M34">
        <v>47</v>
      </c>
      <c r="N34" t="str">
        <f t="shared" si="1"/>
        <v>XLVII</v>
      </c>
      <c r="O34">
        <f t="shared" si="2"/>
        <v>6.9</v>
      </c>
      <c r="S34">
        <f t="shared" si="3"/>
        <v>6</v>
      </c>
      <c r="T34">
        <f t="shared" si="4"/>
        <v>5</v>
      </c>
      <c r="U34" t="str">
        <f t="shared" si="5"/>
        <v>iron nails</v>
      </c>
      <c r="V34" t="str">
        <f t="shared" si="6"/>
        <v>Iron Nails</v>
      </c>
      <c r="W34" t="str">
        <f t="shared" ref="W34" si="41">UPPER(LEFT(V34,4))</f>
        <v>IRON</v>
      </c>
      <c r="X34" t="str">
        <f t="shared" si="7"/>
        <v>ron Nail</v>
      </c>
      <c r="Y34" s="12">
        <f t="shared" si="8"/>
        <v>10</v>
      </c>
      <c r="Z34" t="str">
        <f t="shared" si="12"/>
        <v>IRON ron Nail</v>
      </c>
      <c r="AN34">
        <f t="shared" si="9"/>
        <v>1536000</v>
      </c>
      <c r="AO34" t="str">
        <f t="shared" si="27"/>
        <v>up</v>
      </c>
      <c r="AP34">
        <f t="shared" si="28"/>
        <v>50</v>
      </c>
      <c r="AQ34" t="str">
        <f t="shared" si="29"/>
        <v>L</v>
      </c>
      <c r="AR34">
        <f t="shared" si="30"/>
        <v>7.1</v>
      </c>
    </row>
    <row r="35" spans="1:44" x14ac:dyDescent="0.25">
      <c r="A35" s="1">
        <v>28</v>
      </c>
      <c r="B35" s="52" t="s">
        <v>75</v>
      </c>
      <c r="C35" s="52"/>
      <c r="D35" s="52"/>
      <c r="E35" s="52"/>
      <c r="F35" s="1"/>
      <c r="G35" s="1"/>
      <c r="H35" s="14" t="s">
        <v>94</v>
      </c>
      <c r="I35" s="1">
        <v>400</v>
      </c>
      <c r="J35" s="1">
        <v>2270</v>
      </c>
      <c r="K35" s="1">
        <f t="shared" si="10"/>
        <v>908000</v>
      </c>
      <c r="L35" t="s">
        <v>358</v>
      </c>
      <c r="M35">
        <v>48</v>
      </c>
      <c r="N35" t="str">
        <f t="shared" si="1"/>
        <v>XLVIII</v>
      </c>
      <c r="O35">
        <f t="shared" si="2"/>
        <v>6.9</v>
      </c>
      <c r="S35">
        <f t="shared" si="3"/>
        <v>6</v>
      </c>
      <c r="T35">
        <f t="shared" si="4"/>
        <v>0</v>
      </c>
      <c r="U35" t="str">
        <f t="shared" si="5"/>
        <v>paint brush size 2</v>
      </c>
      <c r="V35" t="str">
        <f t="shared" si="6"/>
        <v>Paint Brush Size 2</v>
      </c>
      <c r="W35" t="str">
        <f t="shared" ref="W35" si="42">LOWER(LEFT(V35,4))</f>
        <v>pain</v>
      </c>
      <c r="X35" t="str">
        <f t="shared" si="7"/>
        <v>aint Bru</v>
      </c>
      <c r="Y35" s="12">
        <f t="shared" si="8"/>
        <v>18</v>
      </c>
      <c r="Z35" t="str">
        <f t="shared" si="12"/>
        <v>pain aint Bru</v>
      </c>
      <c r="AN35">
        <f t="shared" si="9"/>
        <v>28534185</v>
      </c>
      <c r="AO35">
        <f t="shared" si="27"/>
        <v>0</v>
      </c>
      <c r="AP35">
        <f t="shared" si="28"/>
        <v>0</v>
      </c>
      <c r="AQ35">
        <f t="shared" si="29"/>
        <v>0</v>
      </c>
      <c r="AR35">
        <f t="shared" si="30"/>
        <v>0</v>
      </c>
    </row>
    <row r="36" spans="1:44" x14ac:dyDescent="0.25">
      <c r="A36" s="1">
        <v>29</v>
      </c>
      <c r="B36" s="52" t="s">
        <v>76</v>
      </c>
      <c r="C36" s="52"/>
      <c r="D36" s="52"/>
      <c r="E36" s="52"/>
      <c r="F36" s="1"/>
      <c r="G36" s="1"/>
      <c r="H36" s="14" t="s">
        <v>98</v>
      </c>
      <c r="I36" s="1">
        <v>25000</v>
      </c>
      <c r="J36" s="1">
        <v>25</v>
      </c>
      <c r="K36" s="1">
        <f t="shared" si="10"/>
        <v>625000</v>
      </c>
      <c r="L36" t="s">
        <v>355</v>
      </c>
      <c r="M36">
        <v>49</v>
      </c>
      <c r="N36" t="str">
        <f t="shared" si="1"/>
        <v>XLIX</v>
      </c>
      <c r="O36">
        <f t="shared" si="2"/>
        <v>7</v>
      </c>
      <c r="S36">
        <f t="shared" si="3"/>
        <v>7</v>
      </c>
      <c r="T36">
        <f t="shared" si="4"/>
        <v>0</v>
      </c>
      <c r="U36" t="str">
        <f t="shared" si="5"/>
        <v>grey granite</v>
      </c>
      <c r="V36" t="str">
        <f t="shared" si="6"/>
        <v>Grey Granite</v>
      </c>
      <c r="W36" t="str">
        <f t="shared" ref="W36" si="43">UPPER(LEFT(V36,4))</f>
        <v>GREY</v>
      </c>
      <c r="X36" t="str">
        <f t="shared" si="7"/>
        <v>rey Gran</v>
      </c>
      <c r="Y36" s="12">
        <f t="shared" si="8"/>
        <v>12</v>
      </c>
      <c r="Z36" t="str">
        <f t="shared" si="12"/>
        <v>GREY rey Gran</v>
      </c>
      <c r="AE36" t="s">
        <v>394</v>
      </c>
      <c r="AF36" t="s">
        <v>398</v>
      </c>
    </row>
    <row r="37" spans="1:44" x14ac:dyDescent="0.25">
      <c r="A37" s="1">
        <v>30</v>
      </c>
      <c r="B37" s="52" t="s">
        <v>77</v>
      </c>
      <c r="C37" s="52"/>
      <c r="D37" s="52"/>
      <c r="E37" s="52"/>
      <c r="F37" s="1"/>
      <c r="G37" s="1"/>
      <c r="H37" s="14" t="s">
        <v>84</v>
      </c>
      <c r="I37" s="1">
        <v>200</v>
      </c>
      <c r="J37" s="1">
        <v>7680</v>
      </c>
      <c r="K37" s="1">
        <f t="shared" si="10"/>
        <v>1536000</v>
      </c>
      <c r="L37" t="s">
        <v>354</v>
      </c>
      <c r="M37">
        <v>50</v>
      </c>
      <c r="N37" t="str">
        <f t="shared" si="1"/>
        <v>L</v>
      </c>
      <c r="O37">
        <f t="shared" si="2"/>
        <v>7.1</v>
      </c>
      <c r="S37">
        <f t="shared" si="3"/>
        <v>7</v>
      </c>
      <c r="T37">
        <f t="shared" si="4"/>
        <v>1</v>
      </c>
      <c r="U37" t="str">
        <f t="shared" si="5"/>
        <v/>
      </c>
      <c r="V37" t="str">
        <f t="shared" si="6"/>
        <v/>
      </c>
      <c r="Z37" t="str">
        <f t="shared" si="12"/>
        <v xml:space="preserve"> </v>
      </c>
      <c r="AE37">
        <f>AVERAGEIFS(AG24:AG31,AE24:AE31,AE36,AF24:AF31,AF36)</f>
        <v>782.5</v>
      </c>
    </row>
    <row r="38" spans="1:44" ht="21" x14ac:dyDescent="0.35">
      <c r="A38" s="65" t="s">
        <v>59</v>
      </c>
      <c r="B38" s="65"/>
      <c r="C38" s="65"/>
      <c r="D38" s="65"/>
      <c r="E38" s="65"/>
      <c r="F38" s="65"/>
      <c r="G38" s="65"/>
      <c r="H38" s="65"/>
      <c r="I38" s="65"/>
      <c r="J38" s="65"/>
      <c r="K38" s="9">
        <f>SUM(K8:K37)</f>
        <v>28534185</v>
      </c>
    </row>
    <row r="40" spans="1:44" ht="18.75" x14ac:dyDescent="0.3">
      <c r="K40" s="13"/>
      <c r="M40" s="66" t="s">
        <v>364</v>
      </c>
      <c r="N40" s="66"/>
      <c r="O40" s="66"/>
      <c r="Z40">
        <v>45</v>
      </c>
    </row>
    <row r="41" spans="1:44" x14ac:dyDescent="0.25">
      <c r="L41">
        <f>M41*N41</f>
        <v>12</v>
      </c>
      <c r="M41">
        <v>4</v>
      </c>
      <c r="N41">
        <v>3</v>
      </c>
      <c r="O41">
        <f>SUMPRODUCT(M41:M44,N41:N44)</f>
        <v>80</v>
      </c>
      <c r="Z41">
        <v>4589</v>
      </c>
    </row>
    <row r="42" spans="1:44" x14ac:dyDescent="0.25">
      <c r="L42">
        <f>M42*N42</f>
        <v>30</v>
      </c>
      <c r="M42">
        <v>5</v>
      </c>
      <c r="N42">
        <v>6</v>
      </c>
      <c r="Z42">
        <v>6558</v>
      </c>
    </row>
    <row r="43" spans="1:44" x14ac:dyDescent="0.25">
      <c r="L43">
        <f>M43*N43</f>
        <v>30</v>
      </c>
      <c r="M43">
        <v>6</v>
      </c>
      <c r="N43">
        <v>5</v>
      </c>
      <c r="Z43">
        <v>25477</v>
      </c>
    </row>
    <row r="44" spans="1:44" x14ac:dyDescent="0.25">
      <c r="L44">
        <f>M44*N44</f>
        <v>8</v>
      </c>
      <c r="M44">
        <v>4</v>
      </c>
      <c r="N44">
        <v>2</v>
      </c>
    </row>
    <row r="45" spans="1:44" x14ac:dyDescent="0.25">
      <c r="Z45">
        <v>25</v>
      </c>
    </row>
    <row r="46" spans="1:44" x14ac:dyDescent="0.25">
      <c r="Z46">
        <v>4877</v>
      </c>
    </row>
    <row r="47" spans="1:44" x14ac:dyDescent="0.25">
      <c r="Z47" t="s">
        <v>377</v>
      </c>
    </row>
    <row r="48" spans="1:44" x14ac:dyDescent="0.25">
      <c r="Z48">
        <v>5256</v>
      </c>
    </row>
    <row r="50" spans="26:26" x14ac:dyDescent="0.25">
      <c r="Z50" t="s">
        <v>378</v>
      </c>
    </row>
    <row r="51" spans="26:26" x14ac:dyDescent="0.25">
      <c r="Z51">
        <v>455</v>
      </c>
    </row>
  </sheetData>
  <mergeCells count="36">
    <mergeCell ref="M40:O40"/>
    <mergeCell ref="B26:E26"/>
    <mergeCell ref="B27:E27"/>
    <mergeCell ref="B28:E28"/>
    <mergeCell ref="B29:E29"/>
    <mergeCell ref="B21:E21"/>
    <mergeCell ref="B22:E22"/>
    <mergeCell ref="B23:E23"/>
    <mergeCell ref="B24:E24"/>
    <mergeCell ref="B25:E25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A5:K5"/>
    <mergeCell ref="A1:K4"/>
    <mergeCell ref="A6:K6"/>
    <mergeCell ref="A38:J38"/>
    <mergeCell ref="B7:G7"/>
    <mergeCell ref="B35:E35"/>
    <mergeCell ref="B36:E36"/>
    <mergeCell ref="B37:E37"/>
    <mergeCell ref="B30:E30"/>
    <mergeCell ref="B31:E31"/>
    <mergeCell ref="B32:E32"/>
    <mergeCell ref="B8:E8"/>
    <mergeCell ref="B9:E9"/>
    <mergeCell ref="B10:E10"/>
    <mergeCell ref="B33:E33"/>
    <mergeCell ref="B34:E3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zoomScale="80" zoomScaleNormal="80" workbookViewId="0">
      <selection activeCell="K16" sqref="K16"/>
    </sheetView>
  </sheetViews>
  <sheetFormatPr defaultRowHeight="15" x14ac:dyDescent="0.25"/>
  <cols>
    <col min="1" max="1" width="12.5703125" customWidth="1"/>
    <col min="2" max="3" width="9.140625" customWidth="1"/>
  </cols>
  <sheetData>
    <row r="1" spans="1:9" ht="83.25" x14ac:dyDescent="1.2">
      <c r="A1" s="67"/>
      <c r="B1" s="67"/>
      <c r="C1" s="67"/>
      <c r="D1" s="67"/>
      <c r="E1" s="67"/>
      <c r="F1" s="67"/>
      <c r="G1" s="67"/>
      <c r="H1" s="67"/>
      <c r="I1" s="67"/>
    </row>
    <row r="2" spans="1:9" ht="23.25" x14ac:dyDescent="0.35">
      <c r="A2" s="53" t="s">
        <v>100</v>
      </c>
      <c r="B2" s="53"/>
      <c r="C2" s="53"/>
      <c r="D2" s="53"/>
      <c r="E2" s="53"/>
      <c r="F2" s="53"/>
      <c r="G2" s="53"/>
      <c r="H2" s="53"/>
      <c r="I2" s="53"/>
    </row>
    <row r="3" spans="1:9" ht="15.75" x14ac:dyDescent="0.25">
      <c r="A3" s="57" t="s">
        <v>101</v>
      </c>
      <c r="B3" s="57"/>
      <c r="C3" s="57"/>
      <c r="D3" s="57"/>
      <c r="E3" s="57"/>
      <c r="F3" s="57"/>
      <c r="G3" s="57"/>
      <c r="H3" s="57"/>
      <c r="I3" s="57"/>
    </row>
    <row r="4" spans="1:9" ht="15.75" x14ac:dyDescent="0.25">
      <c r="A4" s="57" t="s">
        <v>108</v>
      </c>
      <c r="B4" s="57"/>
      <c r="C4" s="57"/>
      <c r="D4" s="57"/>
      <c r="E4" s="57"/>
      <c r="F4" s="57"/>
      <c r="G4" s="57"/>
      <c r="H4" s="57"/>
      <c r="I4" s="57"/>
    </row>
    <row r="5" spans="1:9" x14ac:dyDescent="0.25">
      <c r="A5" s="16" t="s">
        <v>102</v>
      </c>
      <c r="B5" s="16" t="s">
        <v>103</v>
      </c>
      <c r="C5" s="16"/>
      <c r="D5" s="16"/>
      <c r="E5" s="61" t="s">
        <v>104</v>
      </c>
      <c r="F5" s="61"/>
      <c r="G5" s="61" t="s">
        <v>105</v>
      </c>
      <c r="H5" s="61"/>
      <c r="I5" s="15" t="s">
        <v>106</v>
      </c>
    </row>
    <row r="6" spans="1:9" x14ac:dyDescent="0.25">
      <c r="A6" s="44">
        <v>45996</v>
      </c>
      <c r="B6" s="50" t="s">
        <v>110</v>
      </c>
      <c r="C6" s="50"/>
      <c r="D6" s="50"/>
      <c r="E6" s="52">
        <v>90000</v>
      </c>
      <c r="F6" s="52"/>
      <c r="G6" s="52"/>
      <c r="H6" s="52"/>
      <c r="I6" s="14">
        <v>10000</v>
      </c>
    </row>
    <row r="7" spans="1:9" x14ac:dyDescent="0.25">
      <c r="A7" s="44">
        <v>45996</v>
      </c>
      <c r="B7" s="50" t="s">
        <v>111</v>
      </c>
      <c r="C7" s="50"/>
      <c r="D7" s="50"/>
      <c r="E7" s="50"/>
      <c r="F7" s="50"/>
      <c r="G7" s="52">
        <v>83000</v>
      </c>
      <c r="H7" s="52"/>
      <c r="I7" s="14">
        <v>7000</v>
      </c>
    </row>
    <row r="8" spans="1:9" x14ac:dyDescent="0.25">
      <c r="A8" s="14" t="s">
        <v>107</v>
      </c>
      <c r="B8" s="50" t="s">
        <v>112</v>
      </c>
      <c r="C8" s="50"/>
      <c r="D8" s="50"/>
      <c r="E8" s="50"/>
      <c r="F8" s="50"/>
      <c r="G8" s="52">
        <v>2000</v>
      </c>
      <c r="H8" s="52"/>
      <c r="I8" s="14">
        <v>5000</v>
      </c>
    </row>
    <row r="9" spans="1:9" x14ac:dyDescent="0.25">
      <c r="A9" s="14" t="s">
        <v>109</v>
      </c>
      <c r="B9" s="50" t="s">
        <v>113</v>
      </c>
      <c r="C9" s="50"/>
      <c r="D9" s="50"/>
      <c r="E9" s="52">
        <v>86000</v>
      </c>
      <c r="F9" s="52"/>
      <c r="G9" s="52">
        <v>75000</v>
      </c>
      <c r="H9" s="52"/>
      <c r="I9" s="14">
        <v>91000</v>
      </c>
    </row>
    <row r="10" spans="1:9" x14ac:dyDescent="0.25">
      <c r="A10" s="14" t="s">
        <v>109</v>
      </c>
      <c r="B10" s="50" t="s">
        <v>114</v>
      </c>
      <c r="C10" s="50"/>
      <c r="D10" s="50"/>
      <c r="E10" s="50"/>
      <c r="F10" s="50"/>
      <c r="G10" s="52">
        <v>15000</v>
      </c>
      <c r="H10" s="52"/>
      <c r="I10" s="14">
        <v>76000</v>
      </c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</sheetData>
  <mergeCells count="21">
    <mergeCell ref="A1:I1"/>
    <mergeCell ref="E10:F10"/>
    <mergeCell ref="G7:H7"/>
    <mergeCell ref="A4:I4"/>
    <mergeCell ref="E5:F5"/>
    <mergeCell ref="E6:F6"/>
    <mergeCell ref="E7:F7"/>
    <mergeCell ref="E8:F8"/>
    <mergeCell ref="E9:F9"/>
    <mergeCell ref="B9:D9"/>
    <mergeCell ref="B10:D10"/>
    <mergeCell ref="G9:H9"/>
    <mergeCell ref="G10:H10"/>
    <mergeCell ref="A2:I2"/>
    <mergeCell ref="A3:I3"/>
    <mergeCell ref="B6:D6"/>
    <mergeCell ref="B7:D7"/>
    <mergeCell ref="B8:D8"/>
    <mergeCell ref="G6:H6"/>
    <mergeCell ref="G8:H8"/>
    <mergeCell ref="G5:H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7"/>
  <sheetViews>
    <sheetView topLeftCell="C1" zoomScale="70" zoomScaleNormal="70" workbookViewId="0">
      <selection activeCell="N23" sqref="N23"/>
    </sheetView>
  </sheetViews>
  <sheetFormatPr defaultRowHeight="15" x14ac:dyDescent="0.25"/>
  <cols>
    <col min="1" max="1" width="5" customWidth="1"/>
    <col min="2" max="2" width="19" customWidth="1"/>
    <col min="3" max="3" width="7.7109375" customWidth="1"/>
    <col min="4" max="4" width="17.5703125" customWidth="1"/>
    <col min="5" max="5" width="6" customWidth="1"/>
    <col min="6" max="6" width="11.42578125" customWidth="1"/>
    <col min="7" max="7" width="10.140625" customWidth="1"/>
    <col min="8" max="8" width="9" customWidth="1"/>
    <col min="9" max="9" width="10.5703125" customWidth="1"/>
    <col min="10" max="10" width="6.7109375" customWidth="1"/>
    <col min="11" max="11" width="5.7109375" customWidth="1"/>
    <col min="12" max="12" width="8.140625" customWidth="1"/>
    <col min="13" max="13" width="20.140625" customWidth="1"/>
    <col min="14" max="14" width="15.28515625" customWidth="1"/>
    <col min="15" max="15" width="7.42578125" customWidth="1"/>
    <col min="18" max="18" width="13.7109375" customWidth="1"/>
  </cols>
  <sheetData>
    <row r="2" spans="1:21" ht="18.75" x14ac:dyDescent="0.3">
      <c r="A2" s="49" t="s">
        <v>115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17"/>
      <c r="T2" s="17"/>
      <c r="U2" s="17"/>
    </row>
    <row r="3" spans="1:21" ht="18.75" x14ac:dyDescent="0.3">
      <c r="A3" s="61" t="s">
        <v>116</v>
      </c>
      <c r="B3" s="68" t="s">
        <v>117</v>
      </c>
      <c r="C3" s="61" t="s">
        <v>118</v>
      </c>
      <c r="D3" s="49" t="s">
        <v>127</v>
      </c>
      <c r="E3" s="49"/>
      <c r="F3" s="49"/>
      <c r="G3" s="49"/>
      <c r="H3" s="49"/>
      <c r="I3" s="49"/>
      <c r="J3" s="49"/>
      <c r="K3" s="49"/>
      <c r="L3" s="57" t="s">
        <v>59</v>
      </c>
      <c r="M3" s="61" t="s">
        <v>133</v>
      </c>
      <c r="N3" s="61"/>
      <c r="O3" s="61"/>
      <c r="P3" s="61"/>
      <c r="Q3" s="61"/>
      <c r="R3" s="68" t="s">
        <v>132</v>
      </c>
    </row>
    <row r="4" spans="1:21" x14ac:dyDescent="0.25">
      <c r="A4" s="61"/>
      <c r="B4" s="68"/>
      <c r="C4" s="61"/>
      <c r="D4" s="15" t="s">
        <v>119</v>
      </c>
      <c r="E4" s="15" t="s">
        <v>120</v>
      </c>
      <c r="F4" s="15" t="s">
        <v>121</v>
      </c>
      <c r="G4" s="15" t="s">
        <v>122</v>
      </c>
      <c r="H4" s="15" t="s">
        <v>123</v>
      </c>
      <c r="I4" s="15" t="s">
        <v>124</v>
      </c>
      <c r="J4" s="15" t="s">
        <v>125</v>
      </c>
      <c r="K4" s="15" t="s">
        <v>126</v>
      </c>
      <c r="L4" s="57"/>
      <c r="M4" s="15" t="s">
        <v>128</v>
      </c>
      <c r="N4" s="15" t="s">
        <v>129</v>
      </c>
      <c r="O4" s="15" t="s">
        <v>130</v>
      </c>
      <c r="P4" s="15" t="s">
        <v>131</v>
      </c>
      <c r="Q4" s="15" t="s">
        <v>59</v>
      </c>
      <c r="R4" s="68"/>
    </row>
    <row r="5" spans="1:21" x14ac:dyDescent="0.25">
      <c r="A5" s="1">
        <v>1</v>
      </c>
      <c r="B5" s="1" t="s">
        <v>134</v>
      </c>
      <c r="C5" s="14">
        <v>60000</v>
      </c>
      <c r="D5" s="14">
        <v>30000</v>
      </c>
      <c r="E5" s="14">
        <v>6000</v>
      </c>
      <c r="F5" s="14">
        <v>15000</v>
      </c>
      <c r="G5" s="14">
        <v>1600</v>
      </c>
      <c r="H5" s="14">
        <v>1250</v>
      </c>
      <c r="I5" s="14">
        <v>6150</v>
      </c>
      <c r="J5" s="14">
        <v>13100</v>
      </c>
      <c r="K5" s="14">
        <v>0</v>
      </c>
      <c r="L5" s="14">
        <v>73100</v>
      </c>
      <c r="M5" s="14">
        <v>1800</v>
      </c>
      <c r="N5" s="14">
        <v>0</v>
      </c>
      <c r="O5" s="14">
        <v>7000</v>
      </c>
      <c r="P5" s="14">
        <v>0</v>
      </c>
      <c r="Q5" s="14">
        <v>8800</v>
      </c>
      <c r="R5" s="14">
        <v>64300</v>
      </c>
    </row>
    <row r="6" spans="1:21" x14ac:dyDescent="0.25">
      <c r="A6" s="1">
        <v>2</v>
      </c>
      <c r="B6" s="1" t="s">
        <v>135</v>
      </c>
      <c r="C6" s="14">
        <v>30000</v>
      </c>
      <c r="D6" s="14">
        <v>15000</v>
      </c>
      <c r="E6" s="14">
        <v>3000</v>
      </c>
      <c r="F6" s="14">
        <v>7500</v>
      </c>
      <c r="G6" s="14">
        <v>1600</v>
      </c>
      <c r="H6" s="14">
        <v>1250</v>
      </c>
      <c r="I6" s="14">
        <v>1650</v>
      </c>
      <c r="J6" s="14">
        <v>2300</v>
      </c>
      <c r="K6" s="14">
        <v>0</v>
      </c>
      <c r="L6" s="14">
        <v>32300</v>
      </c>
      <c r="M6" s="14">
        <v>1800</v>
      </c>
      <c r="N6" s="14">
        <v>0</v>
      </c>
      <c r="O6" s="14">
        <v>500</v>
      </c>
      <c r="P6" s="14">
        <v>0</v>
      </c>
      <c r="Q6" s="14">
        <v>2300</v>
      </c>
      <c r="R6" s="14">
        <v>30000</v>
      </c>
    </row>
    <row r="7" spans="1:21" x14ac:dyDescent="0.25">
      <c r="A7" s="1">
        <v>3</v>
      </c>
      <c r="B7" s="1" t="s">
        <v>136</v>
      </c>
      <c r="C7" s="14">
        <v>20000</v>
      </c>
      <c r="D7" s="14">
        <v>10000</v>
      </c>
      <c r="E7" s="14">
        <v>2000</v>
      </c>
      <c r="F7" s="14">
        <v>5000</v>
      </c>
      <c r="G7" s="14">
        <v>1000</v>
      </c>
      <c r="H7" s="14">
        <v>1250</v>
      </c>
      <c r="I7" s="14">
        <v>750</v>
      </c>
      <c r="J7" s="14">
        <v>0</v>
      </c>
      <c r="K7" s="14">
        <v>0</v>
      </c>
      <c r="L7" s="14">
        <v>20000</v>
      </c>
      <c r="M7" s="14">
        <v>1440</v>
      </c>
      <c r="N7" s="14">
        <v>0</v>
      </c>
      <c r="O7" s="14">
        <v>0</v>
      </c>
      <c r="P7" s="14">
        <v>0</v>
      </c>
      <c r="Q7" s="14">
        <v>1440</v>
      </c>
      <c r="R7" s="14">
        <v>18560</v>
      </c>
    </row>
    <row r="8" spans="1:21" x14ac:dyDescent="0.25">
      <c r="A8" s="1">
        <v>4</v>
      </c>
      <c r="B8" s="1" t="s">
        <v>137</v>
      </c>
      <c r="C8" s="14">
        <v>25000</v>
      </c>
      <c r="D8" s="14">
        <v>12500</v>
      </c>
      <c r="E8" s="14">
        <v>2500</v>
      </c>
      <c r="F8" s="14">
        <v>6250</v>
      </c>
      <c r="G8" s="14">
        <v>1600</v>
      </c>
      <c r="H8" s="14">
        <v>1250</v>
      </c>
      <c r="I8" s="14">
        <v>900</v>
      </c>
      <c r="J8" s="14">
        <v>0</v>
      </c>
      <c r="K8" s="14">
        <v>0</v>
      </c>
      <c r="L8" s="14">
        <v>25000</v>
      </c>
      <c r="M8" s="14">
        <v>1800</v>
      </c>
      <c r="N8" s="14">
        <v>0</v>
      </c>
      <c r="O8" s="14">
        <v>0</v>
      </c>
      <c r="P8" s="14">
        <v>0</v>
      </c>
      <c r="Q8" s="14">
        <v>1800</v>
      </c>
      <c r="R8" s="14">
        <v>23200</v>
      </c>
    </row>
    <row r="9" spans="1:21" x14ac:dyDescent="0.25">
      <c r="A9" s="1">
        <v>5</v>
      </c>
      <c r="B9" s="1" t="s">
        <v>138</v>
      </c>
      <c r="C9" s="14">
        <v>22000</v>
      </c>
      <c r="D9" s="14">
        <v>11000</v>
      </c>
      <c r="E9" s="14">
        <v>2200</v>
      </c>
      <c r="F9" s="14">
        <v>5500</v>
      </c>
      <c r="G9" s="14">
        <v>1100</v>
      </c>
      <c r="H9" s="14">
        <v>1250</v>
      </c>
      <c r="I9" s="14">
        <v>950</v>
      </c>
      <c r="J9" s="14">
        <v>2300</v>
      </c>
      <c r="K9" s="14">
        <v>0</v>
      </c>
      <c r="L9" s="14">
        <v>24300</v>
      </c>
      <c r="M9" s="14">
        <v>1580</v>
      </c>
      <c r="N9" s="14">
        <v>0</v>
      </c>
      <c r="O9" s="14">
        <v>0</v>
      </c>
      <c r="P9" s="14">
        <v>0</v>
      </c>
      <c r="Q9" s="14">
        <v>1580</v>
      </c>
      <c r="R9" s="14">
        <v>22720</v>
      </c>
    </row>
    <row r="10" spans="1:21" x14ac:dyDescent="0.25">
      <c r="A10" s="1">
        <v>6</v>
      </c>
      <c r="B10" s="1" t="s">
        <v>139</v>
      </c>
      <c r="C10" s="14">
        <v>14000</v>
      </c>
      <c r="D10" s="14">
        <v>7000</v>
      </c>
      <c r="E10" s="14">
        <v>1400</v>
      </c>
      <c r="F10" s="14">
        <v>3500</v>
      </c>
      <c r="G10" s="14">
        <v>700</v>
      </c>
      <c r="H10" s="14">
        <v>1250</v>
      </c>
      <c r="I10" s="14">
        <v>150</v>
      </c>
      <c r="J10" s="14">
        <v>2300</v>
      </c>
      <c r="K10" s="14">
        <v>0</v>
      </c>
      <c r="L10" s="14">
        <v>16300</v>
      </c>
      <c r="M10" s="14">
        <v>1010</v>
      </c>
      <c r="N10" s="14">
        <v>0</v>
      </c>
      <c r="O10" s="14">
        <v>0</v>
      </c>
      <c r="P10" s="14">
        <v>0</v>
      </c>
      <c r="Q10" s="14">
        <v>1010</v>
      </c>
      <c r="R10" s="14">
        <v>15290</v>
      </c>
    </row>
    <row r="11" spans="1:21" x14ac:dyDescent="0.25">
      <c r="A11" s="1">
        <v>7</v>
      </c>
      <c r="B11" s="1" t="s">
        <v>140</v>
      </c>
      <c r="C11" s="14">
        <v>15000</v>
      </c>
      <c r="D11" s="14">
        <v>75000</v>
      </c>
      <c r="E11" s="14">
        <v>1500</v>
      </c>
      <c r="F11" s="14">
        <v>3750</v>
      </c>
      <c r="G11" s="14">
        <v>600</v>
      </c>
      <c r="H11" s="14">
        <v>1200</v>
      </c>
      <c r="I11" s="14">
        <v>450</v>
      </c>
      <c r="J11" s="14">
        <v>0</v>
      </c>
      <c r="K11" s="14">
        <v>0</v>
      </c>
      <c r="L11" s="14">
        <v>15000</v>
      </c>
      <c r="M11" s="14">
        <v>1080</v>
      </c>
      <c r="N11" s="14">
        <v>0</v>
      </c>
      <c r="O11" s="14">
        <v>0</v>
      </c>
      <c r="P11" s="14">
        <v>0</v>
      </c>
      <c r="Q11" s="14">
        <v>1080</v>
      </c>
      <c r="R11" s="14">
        <v>13920</v>
      </c>
    </row>
    <row r="12" spans="1:21" x14ac:dyDescent="0.25">
      <c r="A12" s="1">
        <v>8</v>
      </c>
      <c r="B12" s="1" t="s">
        <v>141</v>
      </c>
      <c r="C12" s="14">
        <v>14000</v>
      </c>
      <c r="D12" s="14">
        <v>7000</v>
      </c>
      <c r="E12" s="14">
        <v>1400</v>
      </c>
      <c r="F12" s="14">
        <v>3500</v>
      </c>
      <c r="G12" s="14">
        <v>600</v>
      </c>
      <c r="H12" s="14">
        <v>1200</v>
      </c>
      <c r="I12" s="14">
        <v>30</v>
      </c>
      <c r="J12" s="14">
        <v>0</v>
      </c>
      <c r="K12" s="14">
        <v>0</v>
      </c>
      <c r="L12" s="14">
        <v>14000</v>
      </c>
      <c r="M12" s="14">
        <v>1010</v>
      </c>
      <c r="N12" s="14">
        <v>0</v>
      </c>
      <c r="O12" s="14">
        <v>0</v>
      </c>
      <c r="P12" s="14">
        <v>0</v>
      </c>
      <c r="Q12" s="14">
        <v>1010</v>
      </c>
      <c r="R12" s="14">
        <v>12990</v>
      </c>
    </row>
    <row r="13" spans="1:21" x14ac:dyDescent="0.25">
      <c r="A13" s="1">
        <v>9</v>
      </c>
      <c r="B13" s="1" t="s">
        <v>142</v>
      </c>
      <c r="C13" s="14">
        <v>14000</v>
      </c>
      <c r="D13" s="14">
        <v>7000</v>
      </c>
      <c r="E13" s="14">
        <v>1400</v>
      </c>
      <c r="F13" s="14">
        <v>3500</v>
      </c>
      <c r="G13" s="14">
        <v>700</v>
      </c>
      <c r="H13" s="14">
        <v>1250</v>
      </c>
      <c r="I13" s="14">
        <v>150</v>
      </c>
      <c r="J13" s="14">
        <v>1500</v>
      </c>
      <c r="K13" s="14">
        <v>0</v>
      </c>
      <c r="L13" s="14">
        <v>15500</v>
      </c>
      <c r="M13" s="14">
        <v>1010</v>
      </c>
      <c r="N13" s="14">
        <v>0</v>
      </c>
      <c r="O13" s="14">
        <v>0</v>
      </c>
      <c r="P13" s="14">
        <v>0</v>
      </c>
      <c r="Q13" s="14">
        <v>1010</v>
      </c>
      <c r="R13" s="14">
        <v>14490</v>
      </c>
    </row>
    <row r="14" spans="1:21" x14ac:dyDescent="0.25">
      <c r="A14" s="1">
        <v>10</v>
      </c>
      <c r="B14" s="1" t="s">
        <v>143</v>
      </c>
      <c r="C14" s="14">
        <v>8000</v>
      </c>
      <c r="D14" s="14">
        <v>4000</v>
      </c>
      <c r="E14" s="14">
        <v>800</v>
      </c>
      <c r="F14" s="14">
        <v>2000</v>
      </c>
      <c r="G14" s="14">
        <v>400</v>
      </c>
      <c r="H14" s="14">
        <v>800</v>
      </c>
      <c r="I14" s="14">
        <v>0</v>
      </c>
      <c r="J14" s="14">
        <v>0</v>
      </c>
      <c r="K14" s="14">
        <v>0</v>
      </c>
      <c r="L14" s="14">
        <v>8000</v>
      </c>
      <c r="M14" s="14">
        <v>580</v>
      </c>
      <c r="N14" s="14">
        <v>0</v>
      </c>
      <c r="O14" s="14">
        <v>0</v>
      </c>
      <c r="P14" s="14">
        <v>0</v>
      </c>
      <c r="Q14" s="14">
        <v>580</v>
      </c>
      <c r="R14" s="14">
        <v>7420</v>
      </c>
    </row>
    <row r="15" spans="1:21" x14ac:dyDescent="0.25">
      <c r="A15" s="1">
        <v>11</v>
      </c>
      <c r="B15" s="1" t="s">
        <v>144</v>
      </c>
      <c r="C15" s="14">
        <v>8000</v>
      </c>
      <c r="D15" s="14">
        <v>3740</v>
      </c>
      <c r="E15" s="14">
        <v>750</v>
      </c>
      <c r="F15" s="14">
        <v>1870</v>
      </c>
      <c r="G15" s="14">
        <v>370</v>
      </c>
      <c r="H15" s="14">
        <v>774</v>
      </c>
      <c r="I15" s="14">
        <v>230</v>
      </c>
      <c r="J15" s="14">
        <v>0</v>
      </c>
      <c r="K15" s="14">
        <v>0</v>
      </c>
      <c r="L15" s="14">
        <v>7734</v>
      </c>
      <c r="M15" s="14">
        <v>540</v>
      </c>
      <c r="N15" s="14">
        <v>0</v>
      </c>
      <c r="O15" s="14">
        <v>0</v>
      </c>
      <c r="P15" s="14">
        <v>0</v>
      </c>
      <c r="Q15" s="14">
        <v>540</v>
      </c>
      <c r="R15" s="14">
        <v>7194</v>
      </c>
    </row>
    <row r="16" spans="1:21" x14ac:dyDescent="0.25">
      <c r="A16" s="1">
        <v>12</v>
      </c>
      <c r="B16" s="1" t="s">
        <v>145</v>
      </c>
      <c r="C16" s="14">
        <v>8000</v>
      </c>
      <c r="D16" s="14">
        <v>4000</v>
      </c>
      <c r="E16" s="14">
        <v>800</v>
      </c>
      <c r="F16" s="14">
        <v>2000</v>
      </c>
      <c r="G16" s="14">
        <v>400</v>
      </c>
      <c r="H16" s="14">
        <v>800</v>
      </c>
      <c r="I16" s="1">
        <v>0</v>
      </c>
      <c r="J16" s="14">
        <v>0</v>
      </c>
      <c r="K16" s="14">
        <v>0</v>
      </c>
      <c r="L16" s="14">
        <v>8000</v>
      </c>
      <c r="M16" s="14">
        <v>580</v>
      </c>
      <c r="N16" s="14">
        <v>0</v>
      </c>
      <c r="O16" s="14">
        <v>0</v>
      </c>
      <c r="P16" s="14">
        <v>0</v>
      </c>
      <c r="Q16" s="14">
        <v>580</v>
      </c>
      <c r="R16" s="14">
        <v>7420</v>
      </c>
    </row>
    <row r="17" spans="6:18" x14ac:dyDescent="0.25">
      <c r="F17" s="13"/>
      <c r="I17" s="13">
        <f>MIN(SPECIAL)</f>
        <v>0</v>
      </c>
      <c r="R17" s="13">
        <f>SUM(NET_PAYABLE)</f>
        <v>237504</v>
      </c>
    </row>
  </sheetData>
  <mergeCells count="8">
    <mergeCell ref="R3:R4"/>
    <mergeCell ref="A2:R2"/>
    <mergeCell ref="M3:Q3"/>
    <mergeCell ref="A3:A4"/>
    <mergeCell ref="B3:B4"/>
    <mergeCell ref="C3:C4"/>
    <mergeCell ref="L3:L4"/>
    <mergeCell ref="D3:K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zoomScale="70" zoomScaleNormal="70" workbookViewId="0">
      <selection activeCell="B58" sqref="B58"/>
    </sheetView>
  </sheetViews>
  <sheetFormatPr defaultRowHeight="15" x14ac:dyDescent="0.25"/>
  <cols>
    <col min="1" max="9" width="10.42578125" customWidth="1"/>
    <col min="10" max="10" width="14" customWidth="1"/>
  </cols>
  <sheetData>
    <row r="1" spans="1:12" ht="28.5" x14ac:dyDescent="0.45">
      <c r="A1" s="62" t="s">
        <v>146</v>
      </c>
      <c r="B1" s="62"/>
      <c r="C1" s="62"/>
      <c r="D1" s="62"/>
      <c r="E1" s="62"/>
      <c r="F1" s="62"/>
      <c r="G1" s="62"/>
      <c r="H1" s="62"/>
      <c r="I1" s="62"/>
      <c r="J1" s="62"/>
      <c r="K1" s="18"/>
      <c r="L1" s="18"/>
    </row>
    <row r="2" spans="1:12" x14ac:dyDescent="0.25">
      <c r="A2" s="28" t="s">
        <v>177</v>
      </c>
      <c r="B2" s="29" t="s">
        <v>178</v>
      </c>
      <c r="C2" s="29" t="s">
        <v>179</v>
      </c>
      <c r="D2" s="29" t="s">
        <v>180</v>
      </c>
      <c r="E2" s="29" t="s">
        <v>181</v>
      </c>
      <c r="F2" s="29" t="s">
        <v>182</v>
      </c>
      <c r="G2" s="29" t="s">
        <v>183</v>
      </c>
      <c r="H2" s="29" t="s">
        <v>184</v>
      </c>
      <c r="I2" s="29" t="s">
        <v>185</v>
      </c>
      <c r="J2" s="30" t="s">
        <v>186</v>
      </c>
    </row>
    <row r="3" spans="1:12" x14ac:dyDescent="0.25">
      <c r="A3" s="23" t="s">
        <v>102</v>
      </c>
      <c r="B3" s="21" t="s">
        <v>147</v>
      </c>
      <c r="C3" s="21"/>
      <c r="D3" s="21" t="s">
        <v>148</v>
      </c>
      <c r="E3" s="21" t="s">
        <v>149</v>
      </c>
      <c r="F3" s="21" t="s">
        <v>150</v>
      </c>
      <c r="G3" s="21" t="s">
        <v>151</v>
      </c>
      <c r="H3" s="21" t="s">
        <v>152</v>
      </c>
      <c r="I3" s="21" t="s">
        <v>153</v>
      </c>
      <c r="J3" s="25" t="s">
        <v>154</v>
      </c>
    </row>
    <row r="4" spans="1:12" ht="15.75" x14ac:dyDescent="0.25">
      <c r="A4" s="24"/>
      <c r="B4" s="1"/>
      <c r="C4" s="19" t="s">
        <v>156</v>
      </c>
      <c r="D4" s="22" t="s">
        <v>155</v>
      </c>
      <c r="E4" s="1"/>
      <c r="F4" s="1"/>
      <c r="G4" s="1"/>
      <c r="H4" s="14">
        <v>0</v>
      </c>
      <c r="I4" s="1"/>
      <c r="J4" s="26">
        <v>1389101</v>
      </c>
    </row>
    <row r="5" spans="1:12" x14ac:dyDescent="0.25">
      <c r="A5" s="24" t="s">
        <v>157</v>
      </c>
      <c r="B5" s="1">
        <v>8136</v>
      </c>
      <c r="C5" s="14">
        <v>7054</v>
      </c>
      <c r="D5" s="22" t="s">
        <v>173</v>
      </c>
      <c r="E5" s="14">
        <v>41.09</v>
      </c>
      <c r="F5" s="14">
        <v>210</v>
      </c>
      <c r="G5" s="1"/>
      <c r="H5" s="14">
        <f>E5*F5</f>
        <v>8628.9000000000015</v>
      </c>
      <c r="I5" s="1"/>
      <c r="J5" s="27">
        <f>J4+H5</f>
        <v>1397729.9</v>
      </c>
    </row>
    <row r="6" spans="1:12" x14ac:dyDescent="0.25">
      <c r="A6" s="24" t="s">
        <v>158</v>
      </c>
      <c r="B6" s="1">
        <v>8217</v>
      </c>
      <c r="C6" s="14">
        <v>7002</v>
      </c>
      <c r="D6" s="22" t="s">
        <v>174</v>
      </c>
      <c r="E6" s="14">
        <v>49.88</v>
      </c>
      <c r="F6" s="14">
        <v>540</v>
      </c>
      <c r="G6" s="1"/>
      <c r="H6" s="14">
        <f t="shared" ref="H6:H26" si="0">E6*F6</f>
        <v>26935.200000000001</v>
      </c>
      <c r="I6" s="1"/>
      <c r="J6" s="27">
        <f t="shared" ref="J6:J26" si="1">J5+H6</f>
        <v>1424665.0999999999</v>
      </c>
    </row>
    <row r="7" spans="1:12" x14ac:dyDescent="0.25">
      <c r="A7" s="24" t="s">
        <v>158</v>
      </c>
      <c r="B7" s="1">
        <v>8268</v>
      </c>
      <c r="C7" s="14">
        <v>5968</v>
      </c>
      <c r="D7" s="22" t="s">
        <v>174</v>
      </c>
      <c r="E7" s="14">
        <v>41.76</v>
      </c>
      <c r="F7" s="14">
        <v>540</v>
      </c>
      <c r="G7" s="1"/>
      <c r="H7" s="14">
        <f t="shared" si="0"/>
        <v>22550.399999999998</v>
      </c>
      <c r="I7" s="1"/>
      <c r="J7" s="27">
        <f t="shared" si="1"/>
        <v>1447215.4999999998</v>
      </c>
    </row>
    <row r="8" spans="1:12" x14ac:dyDescent="0.25">
      <c r="A8" s="24" t="s">
        <v>158</v>
      </c>
      <c r="B8" s="1">
        <v>8272</v>
      </c>
      <c r="C8" s="14">
        <v>7054</v>
      </c>
      <c r="D8" s="22" t="s">
        <v>173</v>
      </c>
      <c r="E8" s="14">
        <v>40.880000000000003</v>
      </c>
      <c r="F8" s="14">
        <v>210</v>
      </c>
      <c r="G8" s="1"/>
      <c r="H8" s="14">
        <f t="shared" si="0"/>
        <v>8584.8000000000011</v>
      </c>
      <c r="I8" s="1"/>
      <c r="J8" s="27">
        <f t="shared" si="1"/>
        <v>1455800.2999999998</v>
      </c>
    </row>
    <row r="9" spans="1:12" x14ac:dyDescent="0.25">
      <c r="A9" s="24" t="s">
        <v>159</v>
      </c>
      <c r="B9" s="1">
        <v>8367</v>
      </c>
      <c r="C9" s="14">
        <v>7002</v>
      </c>
      <c r="D9" s="22" t="s">
        <v>173</v>
      </c>
      <c r="E9" s="14">
        <v>49.23</v>
      </c>
      <c r="F9" s="14">
        <v>230</v>
      </c>
      <c r="G9" s="1"/>
      <c r="H9" s="14">
        <f t="shared" si="0"/>
        <v>11322.9</v>
      </c>
      <c r="I9" s="1"/>
      <c r="J9" s="27">
        <f t="shared" si="1"/>
        <v>1467123.1999999997</v>
      </c>
    </row>
    <row r="10" spans="1:12" x14ac:dyDescent="0.25">
      <c r="A10" s="24" t="s">
        <v>160</v>
      </c>
      <c r="B10" s="1"/>
      <c r="C10" s="14">
        <v>9555</v>
      </c>
      <c r="D10" s="22" t="s">
        <v>174</v>
      </c>
      <c r="E10" s="14">
        <v>50.01</v>
      </c>
      <c r="F10" s="14">
        <v>540</v>
      </c>
      <c r="G10" s="1"/>
      <c r="H10" s="14">
        <f t="shared" si="0"/>
        <v>27005.399999999998</v>
      </c>
      <c r="I10" s="1"/>
      <c r="J10" s="27">
        <f t="shared" si="1"/>
        <v>1494128.5999999996</v>
      </c>
    </row>
    <row r="11" spans="1:12" x14ac:dyDescent="0.25">
      <c r="A11" s="24" t="s">
        <v>160</v>
      </c>
      <c r="B11" s="1">
        <v>8385</v>
      </c>
      <c r="C11" s="14">
        <v>5968</v>
      </c>
      <c r="D11" s="22" t="s">
        <v>174</v>
      </c>
      <c r="E11" s="14">
        <v>41.69</v>
      </c>
      <c r="F11" s="14">
        <v>540</v>
      </c>
      <c r="G11" s="1"/>
      <c r="H11" s="14">
        <f t="shared" si="0"/>
        <v>22512.6</v>
      </c>
      <c r="I11" s="1"/>
      <c r="J11" s="27">
        <f t="shared" si="1"/>
        <v>1516641.1999999997</v>
      </c>
    </row>
    <row r="12" spans="1:12" x14ac:dyDescent="0.25">
      <c r="A12" s="24" t="s">
        <v>160</v>
      </c>
      <c r="B12" s="1">
        <v>8390</v>
      </c>
      <c r="C12" s="14">
        <v>3316</v>
      </c>
      <c r="D12" s="22" t="s">
        <v>174</v>
      </c>
      <c r="E12" s="14">
        <v>40.92</v>
      </c>
      <c r="F12" s="14">
        <v>540</v>
      </c>
      <c r="G12" s="1"/>
      <c r="H12" s="14">
        <f t="shared" si="0"/>
        <v>22096.799999999999</v>
      </c>
      <c r="I12" s="1"/>
      <c r="J12" s="27">
        <f t="shared" si="1"/>
        <v>1538737.9999999998</v>
      </c>
    </row>
    <row r="13" spans="1:12" x14ac:dyDescent="0.25">
      <c r="A13" s="24" t="s">
        <v>161</v>
      </c>
      <c r="B13" s="1">
        <v>8453</v>
      </c>
      <c r="C13" s="14">
        <v>7054</v>
      </c>
      <c r="D13" s="22" t="s">
        <v>173</v>
      </c>
      <c r="E13" s="14">
        <v>41.17</v>
      </c>
      <c r="F13" s="14">
        <v>230</v>
      </c>
      <c r="G13" s="1"/>
      <c r="H13" s="14">
        <f t="shared" si="0"/>
        <v>9469.1</v>
      </c>
      <c r="I13" s="1"/>
      <c r="J13" s="27">
        <f t="shared" si="1"/>
        <v>1548207.0999999999</v>
      </c>
    </row>
    <row r="14" spans="1:12" x14ac:dyDescent="0.25">
      <c r="A14" s="24" t="s">
        <v>161</v>
      </c>
      <c r="B14" s="1">
        <v>8469</v>
      </c>
      <c r="C14" s="14">
        <v>5968</v>
      </c>
      <c r="D14" s="22" t="s">
        <v>173</v>
      </c>
      <c r="E14" s="14">
        <v>41.95</v>
      </c>
      <c r="F14" s="14">
        <v>230</v>
      </c>
      <c r="G14" s="1"/>
      <c r="H14" s="14">
        <f t="shared" si="0"/>
        <v>9648.5</v>
      </c>
      <c r="I14" s="1"/>
      <c r="J14" s="27">
        <f t="shared" si="1"/>
        <v>1557855.5999999999</v>
      </c>
    </row>
    <row r="15" spans="1:12" x14ac:dyDescent="0.25">
      <c r="A15" s="24" t="s">
        <v>161</v>
      </c>
      <c r="B15" s="1">
        <v>8474</v>
      </c>
      <c r="C15" s="14">
        <v>3316</v>
      </c>
      <c r="D15" s="22" t="s">
        <v>175</v>
      </c>
      <c r="E15" s="14">
        <v>40.94</v>
      </c>
      <c r="F15" s="14">
        <v>550</v>
      </c>
      <c r="G15" s="1"/>
      <c r="H15" s="14">
        <f t="shared" si="0"/>
        <v>22517</v>
      </c>
      <c r="I15" s="1"/>
      <c r="J15" s="27">
        <f t="shared" si="1"/>
        <v>1580372.5999999999</v>
      </c>
    </row>
    <row r="16" spans="1:12" x14ac:dyDescent="0.25">
      <c r="A16" s="24" t="s">
        <v>161</v>
      </c>
      <c r="B16" s="1">
        <v>8485</v>
      </c>
      <c r="C16" s="14">
        <v>5976</v>
      </c>
      <c r="D16" s="22" t="s">
        <v>176</v>
      </c>
      <c r="E16" s="14">
        <v>41.8</v>
      </c>
      <c r="F16" s="14">
        <v>25</v>
      </c>
      <c r="G16" s="1"/>
      <c r="H16" s="14">
        <f t="shared" si="0"/>
        <v>1045</v>
      </c>
      <c r="I16" s="1"/>
      <c r="J16" s="27">
        <f t="shared" si="1"/>
        <v>1581417.5999999999</v>
      </c>
    </row>
    <row r="17" spans="1:10" x14ac:dyDescent="0.25">
      <c r="A17" s="24" t="s">
        <v>171</v>
      </c>
      <c r="B17" s="1">
        <v>8578</v>
      </c>
      <c r="C17" s="14">
        <v>9555</v>
      </c>
      <c r="D17" s="22" t="s">
        <v>174</v>
      </c>
      <c r="E17" s="14">
        <v>50.35</v>
      </c>
      <c r="F17" s="14">
        <v>540</v>
      </c>
      <c r="G17" s="1"/>
      <c r="H17" s="14">
        <f t="shared" si="0"/>
        <v>27189</v>
      </c>
      <c r="I17" s="1"/>
      <c r="J17" s="27">
        <f t="shared" si="1"/>
        <v>1608606.5999999999</v>
      </c>
    </row>
    <row r="18" spans="1:10" x14ac:dyDescent="0.25">
      <c r="A18" s="24" t="s">
        <v>162</v>
      </c>
      <c r="B18" s="1">
        <v>8607</v>
      </c>
      <c r="C18" s="14">
        <v>5968</v>
      </c>
      <c r="D18" s="22" t="s">
        <v>173</v>
      </c>
      <c r="E18" s="14">
        <v>42.08</v>
      </c>
      <c r="F18" s="14">
        <v>230</v>
      </c>
      <c r="G18" s="1"/>
      <c r="H18" s="14">
        <f t="shared" si="0"/>
        <v>9678.4</v>
      </c>
      <c r="I18" s="1"/>
      <c r="J18" s="27">
        <f t="shared" si="1"/>
        <v>1618284.9999999998</v>
      </c>
    </row>
    <row r="19" spans="1:10" x14ac:dyDescent="0.25">
      <c r="A19" s="24" t="s">
        <v>163</v>
      </c>
      <c r="B19" s="1">
        <v>8624</v>
      </c>
      <c r="C19" s="14">
        <v>3316</v>
      </c>
      <c r="D19" s="22" t="s">
        <v>174</v>
      </c>
      <c r="E19" s="14">
        <v>41.08</v>
      </c>
      <c r="F19" s="14">
        <v>540</v>
      </c>
      <c r="G19" s="1"/>
      <c r="H19" s="14">
        <f t="shared" si="0"/>
        <v>22183.200000000001</v>
      </c>
      <c r="I19" s="1"/>
      <c r="J19" s="27">
        <f t="shared" si="1"/>
        <v>1640468.1999999997</v>
      </c>
    </row>
    <row r="20" spans="1:10" x14ac:dyDescent="0.25">
      <c r="A20" s="24" t="s">
        <v>163</v>
      </c>
      <c r="B20" s="1">
        <v>8631</v>
      </c>
      <c r="C20" s="14">
        <v>6968</v>
      </c>
      <c r="D20" s="22" t="s">
        <v>173</v>
      </c>
      <c r="E20" s="14">
        <v>40.94</v>
      </c>
      <c r="F20" s="14">
        <v>230</v>
      </c>
      <c r="G20" s="1"/>
      <c r="H20" s="14">
        <f t="shared" si="0"/>
        <v>9416.1999999999989</v>
      </c>
      <c r="I20" s="1"/>
      <c r="J20" s="27">
        <f t="shared" si="1"/>
        <v>1649884.3999999997</v>
      </c>
    </row>
    <row r="21" spans="1:10" x14ac:dyDescent="0.25">
      <c r="A21" s="24" t="s">
        <v>163</v>
      </c>
      <c r="B21" s="1">
        <v>8641</v>
      </c>
      <c r="C21" s="14">
        <v>7054</v>
      </c>
      <c r="D21" s="22" t="s">
        <v>173</v>
      </c>
      <c r="E21" s="14">
        <v>40.79</v>
      </c>
      <c r="F21" s="14">
        <v>230</v>
      </c>
      <c r="G21" s="1"/>
      <c r="H21" s="14">
        <f t="shared" si="0"/>
        <v>9381.6999999999989</v>
      </c>
      <c r="I21" s="1"/>
      <c r="J21" s="27">
        <f t="shared" si="1"/>
        <v>1659266.0999999996</v>
      </c>
    </row>
    <row r="22" spans="1:10" x14ac:dyDescent="0.25">
      <c r="A22" s="24" t="s">
        <v>163</v>
      </c>
      <c r="B22" s="1">
        <v>8656</v>
      </c>
      <c r="C22" s="14">
        <v>7002</v>
      </c>
      <c r="D22" s="22" t="s">
        <v>173</v>
      </c>
      <c r="E22" s="14">
        <v>50.95</v>
      </c>
      <c r="F22" s="14">
        <v>230</v>
      </c>
      <c r="G22" s="1"/>
      <c r="H22" s="14">
        <f t="shared" si="0"/>
        <v>11718.5</v>
      </c>
      <c r="I22" s="1"/>
      <c r="J22" s="27">
        <f t="shared" si="1"/>
        <v>1670984.5999999996</v>
      </c>
    </row>
    <row r="23" spans="1:10" x14ac:dyDescent="0.25">
      <c r="A23" s="24" t="s">
        <v>164</v>
      </c>
      <c r="B23" s="1">
        <v>8717</v>
      </c>
      <c r="C23" s="14">
        <v>3316</v>
      </c>
      <c r="D23" s="22" t="s">
        <v>173</v>
      </c>
      <c r="E23" s="14">
        <v>40.85</v>
      </c>
      <c r="F23" s="14">
        <v>230</v>
      </c>
      <c r="G23" s="1"/>
      <c r="H23" s="14">
        <f t="shared" si="0"/>
        <v>9395.5</v>
      </c>
      <c r="I23" s="1"/>
      <c r="J23" s="27">
        <f t="shared" si="1"/>
        <v>1680380.0999999996</v>
      </c>
    </row>
    <row r="24" spans="1:10" x14ac:dyDescent="0.25">
      <c r="A24" s="24" t="s">
        <v>164</v>
      </c>
      <c r="B24" s="1">
        <v>8720</v>
      </c>
      <c r="C24" s="14">
        <v>5968</v>
      </c>
      <c r="D24" s="22" t="s">
        <v>174</v>
      </c>
      <c r="E24" s="14">
        <v>41.93</v>
      </c>
      <c r="F24" s="14">
        <v>540</v>
      </c>
      <c r="G24" s="1"/>
      <c r="H24" s="14">
        <f t="shared" si="0"/>
        <v>22642.2</v>
      </c>
      <c r="I24" s="1"/>
      <c r="J24" s="27">
        <f t="shared" si="1"/>
        <v>1703022.2999999996</v>
      </c>
    </row>
    <row r="25" spans="1:10" x14ac:dyDescent="0.25">
      <c r="A25" s="24" t="s">
        <v>164</v>
      </c>
      <c r="B25" s="1">
        <v>8728</v>
      </c>
      <c r="C25" s="14">
        <v>6908</v>
      </c>
      <c r="D25" s="22" t="s">
        <v>173</v>
      </c>
      <c r="E25" s="14">
        <v>41.38</v>
      </c>
      <c r="F25" s="14">
        <v>230</v>
      </c>
      <c r="G25" s="1"/>
      <c r="H25" s="14">
        <f t="shared" si="0"/>
        <v>9517.4000000000015</v>
      </c>
      <c r="I25" s="1"/>
      <c r="J25" s="27">
        <f t="shared" si="1"/>
        <v>1712539.6999999995</v>
      </c>
    </row>
    <row r="26" spans="1:10" x14ac:dyDescent="0.25">
      <c r="A26" s="24" t="s">
        <v>164</v>
      </c>
      <c r="B26" s="1">
        <v>8740</v>
      </c>
      <c r="C26" s="14">
        <v>9555</v>
      </c>
      <c r="D26" s="22" t="s">
        <v>174</v>
      </c>
      <c r="E26" s="14">
        <v>49.04</v>
      </c>
      <c r="F26" s="14">
        <v>540</v>
      </c>
      <c r="G26" s="1"/>
      <c r="H26" s="14">
        <f t="shared" si="0"/>
        <v>26481.599999999999</v>
      </c>
      <c r="I26" s="1"/>
      <c r="J26" s="27">
        <f t="shared" si="1"/>
        <v>1739021.2999999996</v>
      </c>
    </row>
    <row r="27" spans="1:10" x14ac:dyDescent="0.25">
      <c r="A27" s="24" t="s">
        <v>165</v>
      </c>
      <c r="B27" s="1"/>
      <c r="C27" s="14" t="s">
        <v>172</v>
      </c>
      <c r="D27" s="20"/>
      <c r="E27" s="14"/>
      <c r="F27" s="1"/>
      <c r="G27" s="1"/>
      <c r="H27" s="1"/>
      <c r="I27" s="14">
        <v>300000</v>
      </c>
      <c r="J27" s="27">
        <f>J26-I27</f>
        <v>1439021.2999999996</v>
      </c>
    </row>
    <row r="28" spans="1:10" x14ac:dyDescent="0.25">
      <c r="A28" s="24" t="s">
        <v>165</v>
      </c>
      <c r="B28" s="1">
        <v>8888</v>
      </c>
      <c r="C28" s="14">
        <v>5968</v>
      </c>
      <c r="D28" s="22" t="s">
        <v>174</v>
      </c>
      <c r="E28" s="14">
        <v>41.55</v>
      </c>
      <c r="F28" s="14">
        <v>540</v>
      </c>
      <c r="G28" s="1"/>
      <c r="H28" s="14">
        <f>E28*F28</f>
        <v>22437</v>
      </c>
      <c r="I28" s="1"/>
      <c r="J28" s="27">
        <f>J27+H28</f>
        <v>1461458.2999999996</v>
      </c>
    </row>
    <row r="29" spans="1:10" x14ac:dyDescent="0.25">
      <c r="A29" s="24" t="s">
        <v>166</v>
      </c>
      <c r="B29" s="1">
        <v>8957</v>
      </c>
      <c r="C29" s="14">
        <v>1151</v>
      </c>
      <c r="D29" s="22" t="s">
        <v>173</v>
      </c>
      <c r="E29" s="14">
        <v>42.39</v>
      </c>
      <c r="F29" s="14">
        <v>230</v>
      </c>
      <c r="G29" s="1"/>
      <c r="H29" s="14">
        <f t="shared" ref="H29:H42" si="2">E29*F29</f>
        <v>9749.7000000000007</v>
      </c>
      <c r="I29" s="1"/>
      <c r="J29" s="27">
        <f t="shared" ref="J29:J42" si="3">J28+H29</f>
        <v>1471207.9999999995</v>
      </c>
    </row>
    <row r="30" spans="1:10" x14ac:dyDescent="0.25">
      <c r="A30" s="24" t="s">
        <v>166</v>
      </c>
      <c r="B30" s="1">
        <v>8963</v>
      </c>
      <c r="C30" s="14">
        <v>1148</v>
      </c>
      <c r="D30" s="22" t="s">
        <v>176</v>
      </c>
      <c r="E30" s="14">
        <v>42</v>
      </c>
      <c r="F30" s="14">
        <v>25</v>
      </c>
      <c r="G30" s="1"/>
      <c r="H30" s="14">
        <f t="shared" si="2"/>
        <v>1050</v>
      </c>
      <c r="I30" s="1"/>
      <c r="J30" s="27">
        <f t="shared" si="3"/>
        <v>1472257.9999999995</v>
      </c>
    </row>
    <row r="31" spans="1:10" x14ac:dyDescent="0.25">
      <c r="A31" s="24" t="s">
        <v>166</v>
      </c>
      <c r="B31" s="1">
        <v>9010</v>
      </c>
      <c r="C31" s="14">
        <v>5968</v>
      </c>
      <c r="D31" s="22" t="s">
        <v>174</v>
      </c>
      <c r="E31" s="14">
        <v>42.09</v>
      </c>
      <c r="F31" s="14">
        <v>540</v>
      </c>
      <c r="G31" s="1"/>
      <c r="H31" s="14">
        <f t="shared" si="2"/>
        <v>22728.600000000002</v>
      </c>
      <c r="I31" s="1"/>
      <c r="J31" s="27">
        <f t="shared" si="3"/>
        <v>1494986.5999999996</v>
      </c>
    </row>
    <row r="32" spans="1:10" x14ac:dyDescent="0.25">
      <c r="A32" s="24" t="s">
        <v>167</v>
      </c>
      <c r="B32" s="1">
        <v>9059</v>
      </c>
      <c r="C32" s="14">
        <v>6096</v>
      </c>
      <c r="D32" s="22" t="s">
        <v>173</v>
      </c>
      <c r="E32" s="14">
        <v>41.42</v>
      </c>
      <c r="F32" s="14">
        <v>230</v>
      </c>
      <c r="G32" s="1"/>
      <c r="H32" s="14">
        <f t="shared" si="2"/>
        <v>9526.6</v>
      </c>
      <c r="I32" s="1"/>
      <c r="J32" s="27">
        <f t="shared" si="3"/>
        <v>1504513.1999999997</v>
      </c>
    </row>
    <row r="33" spans="1:10" x14ac:dyDescent="0.25">
      <c r="A33" s="24" t="s">
        <v>167</v>
      </c>
      <c r="B33" s="1">
        <v>9105</v>
      </c>
      <c r="C33" s="14">
        <v>7054</v>
      </c>
      <c r="D33" s="22" t="s">
        <v>173</v>
      </c>
      <c r="E33" s="14">
        <v>40.369999999999997</v>
      </c>
      <c r="F33" s="14">
        <v>230</v>
      </c>
      <c r="G33" s="1"/>
      <c r="H33" s="14">
        <f t="shared" si="2"/>
        <v>9285.0999999999985</v>
      </c>
      <c r="I33" s="1"/>
      <c r="J33" s="27">
        <f t="shared" si="3"/>
        <v>1513798.2999999998</v>
      </c>
    </row>
    <row r="34" spans="1:10" x14ac:dyDescent="0.25">
      <c r="A34" s="24" t="s">
        <v>167</v>
      </c>
      <c r="B34" s="1">
        <v>9111</v>
      </c>
      <c r="C34" s="14">
        <v>3316</v>
      </c>
      <c r="D34" s="22" t="s">
        <v>174</v>
      </c>
      <c r="E34" s="14">
        <v>40.770000000000003</v>
      </c>
      <c r="F34" s="14">
        <v>540</v>
      </c>
      <c r="G34" s="1"/>
      <c r="H34" s="14">
        <f t="shared" si="2"/>
        <v>22015.800000000003</v>
      </c>
      <c r="I34" s="1"/>
      <c r="J34" s="27">
        <f t="shared" si="3"/>
        <v>1535814.0999999999</v>
      </c>
    </row>
    <row r="35" spans="1:10" x14ac:dyDescent="0.25">
      <c r="A35" s="24" t="s">
        <v>168</v>
      </c>
      <c r="B35" s="1">
        <v>9194</v>
      </c>
      <c r="C35" s="14">
        <v>9555</v>
      </c>
      <c r="D35" s="22" t="s">
        <v>174</v>
      </c>
      <c r="E35" s="14">
        <v>51.43</v>
      </c>
      <c r="F35" s="14">
        <v>540</v>
      </c>
      <c r="G35" s="1"/>
      <c r="H35" s="14">
        <f t="shared" si="2"/>
        <v>27772.2</v>
      </c>
      <c r="I35" s="1"/>
      <c r="J35" s="27">
        <f t="shared" si="3"/>
        <v>1563586.2999999998</v>
      </c>
    </row>
    <row r="36" spans="1:10" x14ac:dyDescent="0.25">
      <c r="A36" s="24" t="s">
        <v>168</v>
      </c>
      <c r="B36" s="1">
        <v>9218</v>
      </c>
      <c r="C36" s="14">
        <v>7002</v>
      </c>
      <c r="D36" s="22" t="s">
        <v>173</v>
      </c>
      <c r="E36" s="14">
        <v>53.92</v>
      </c>
      <c r="F36" s="14">
        <v>230</v>
      </c>
      <c r="G36" s="1"/>
      <c r="H36" s="14">
        <f t="shared" si="2"/>
        <v>12401.6</v>
      </c>
      <c r="I36" s="1"/>
      <c r="J36" s="27">
        <f t="shared" si="3"/>
        <v>1575987.9</v>
      </c>
    </row>
    <row r="37" spans="1:10" x14ac:dyDescent="0.25">
      <c r="A37" s="24" t="s">
        <v>168</v>
      </c>
      <c r="B37" s="1">
        <v>9231</v>
      </c>
      <c r="C37" s="14">
        <v>3316</v>
      </c>
      <c r="D37" s="22" t="s">
        <v>174</v>
      </c>
      <c r="E37" s="14">
        <v>40.79</v>
      </c>
      <c r="F37" s="14">
        <v>540</v>
      </c>
      <c r="G37" s="1"/>
      <c r="H37" s="14">
        <f t="shared" si="2"/>
        <v>22026.6</v>
      </c>
      <c r="I37" s="1"/>
      <c r="J37" s="27">
        <f t="shared" si="3"/>
        <v>1598014.5</v>
      </c>
    </row>
    <row r="38" spans="1:10" x14ac:dyDescent="0.25">
      <c r="A38" s="24" t="s">
        <v>169</v>
      </c>
      <c r="B38" s="1">
        <v>9288</v>
      </c>
      <c r="C38" s="14">
        <v>5968</v>
      </c>
      <c r="D38" s="22" t="s">
        <v>175</v>
      </c>
      <c r="E38" s="14">
        <v>41.44</v>
      </c>
      <c r="F38" s="14">
        <v>560</v>
      </c>
      <c r="G38" s="1"/>
      <c r="H38" s="14">
        <f t="shared" si="2"/>
        <v>23206.399999999998</v>
      </c>
      <c r="I38" s="1"/>
      <c r="J38" s="27">
        <f t="shared" si="3"/>
        <v>1621220.9</v>
      </c>
    </row>
    <row r="39" spans="1:10" x14ac:dyDescent="0.25">
      <c r="A39" s="24" t="s">
        <v>169</v>
      </c>
      <c r="B39" s="1">
        <v>9291</v>
      </c>
      <c r="C39" s="14">
        <v>7054</v>
      </c>
      <c r="D39" s="22" t="s">
        <v>173</v>
      </c>
      <c r="E39" s="14">
        <v>41.38</v>
      </c>
      <c r="F39" s="14">
        <v>230</v>
      </c>
      <c r="G39" s="1"/>
      <c r="H39" s="14">
        <f t="shared" si="2"/>
        <v>9517.4000000000015</v>
      </c>
      <c r="I39" s="1"/>
      <c r="J39" s="27">
        <f t="shared" si="3"/>
        <v>1630738.2999999998</v>
      </c>
    </row>
    <row r="40" spans="1:10" x14ac:dyDescent="0.25">
      <c r="A40" s="24" t="s">
        <v>169</v>
      </c>
      <c r="B40" s="1">
        <v>9312</v>
      </c>
      <c r="C40" s="14">
        <v>9555</v>
      </c>
      <c r="D40" s="22" t="s">
        <v>174</v>
      </c>
      <c r="E40" s="14">
        <v>50.42</v>
      </c>
      <c r="F40" s="14">
        <v>540</v>
      </c>
      <c r="G40" s="1"/>
      <c r="H40" s="14">
        <f t="shared" si="2"/>
        <v>27226.799999999999</v>
      </c>
      <c r="I40" s="1"/>
      <c r="J40" s="27">
        <f t="shared" si="3"/>
        <v>1657965.0999999999</v>
      </c>
    </row>
    <row r="41" spans="1:10" x14ac:dyDescent="0.25">
      <c r="A41" s="24" t="s">
        <v>170</v>
      </c>
      <c r="B41" s="1">
        <v>9315</v>
      </c>
      <c r="C41" s="14">
        <v>3316</v>
      </c>
      <c r="D41" s="22" t="s">
        <v>174</v>
      </c>
      <c r="E41" s="14">
        <v>41.22</v>
      </c>
      <c r="F41" s="14">
        <v>560</v>
      </c>
      <c r="G41" s="1"/>
      <c r="H41" s="14">
        <f t="shared" si="2"/>
        <v>23083.200000000001</v>
      </c>
      <c r="I41" s="1"/>
      <c r="J41" s="27">
        <f t="shared" si="3"/>
        <v>1681048.2999999998</v>
      </c>
    </row>
    <row r="42" spans="1:10" x14ac:dyDescent="0.25">
      <c r="A42" s="24" t="s">
        <v>170</v>
      </c>
      <c r="B42" s="1">
        <v>9323</v>
      </c>
      <c r="C42" s="14">
        <v>6099</v>
      </c>
      <c r="D42" s="14" t="s">
        <v>174</v>
      </c>
      <c r="E42" s="14">
        <v>41.51</v>
      </c>
      <c r="F42" s="14">
        <v>560</v>
      </c>
      <c r="G42" s="1"/>
      <c r="H42" s="14">
        <f t="shared" si="2"/>
        <v>23245.599999999999</v>
      </c>
      <c r="I42" s="1"/>
      <c r="J42" s="27">
        <f t="shared" si="3"/>
        <v>1704293.9</v>
      </c>
    </row>
    <row r="43" spans="1:10" ht="15.75" x14ac:dyDescent="0.25">
      <c r="A43" s="31" t="s">
        <v>59</v>
      </c>
      <c r="B43" s="32"/>
      <c r="C43" s="32"/>
      <c r="D43" s="32"/>
      <c r="E43" s="32"/>
      <c r="F43" s="32"/>
      <c r="G43" s="32"/>
      <c r="H43" s="32"/>
      <c r="I43" s="32"/>
      <c r="J43" s="33">
        <f>SUM(J4:J42)</f>
        <v>61007366.999999985</v>
      </c>
    </row>
  </sheetData>
  <mergeCells count="1">
    <mergeCell ref="A1:J1"/>
  </mergeCells>
  <conditionalFormatting sqref="H4:H4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{C7FA73F3-444B-44A5-8DC9-A5AB5DB53E30}</x14:id>
        </ext>
      </extLst>
    </cfRule>
  </conditionalFormatting>
  <conditionalFormatting sqref="J4:J4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{1C881B8F-B68F-4794-A075-F5A3188F47DC}</x14:id>
        </ext>
      </extLst>
    </cfRule>
  </conditionalFormatting>
  <conditionalFormatting sqref="L5">
    <cfRule type="iconSet" priority="3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scale="9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FA73F3-444B-44A5-8DC9-A5AB5DB53E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H4:H42</xm:sqref>
        </x14:conditionalFormatting>
        <x14:conditionalFormatting xmlns:xm="http://schemas.microsoft.com/office/excel/2006/main">
          <x14:cfRule type="dataBar" id="{1C881B8F-B68F-4794-A075-F5A3188F47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J4:J42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sqref="A1:E1"/>
    </sheetView>
  </sheetViews>
  <sheetFormatPr defaultRowHeight="15" x14ac:dyDescent="0.25"/>
  <cols>
    <col min="2" max="2" width="37.28515625" customWidth="1"/>
    <col min="4" max="4" width="39" customWidth="1"/>
    <col min="5" max="5" width="27.42578125" customWidth="1"/>
  </cols>
  <sheetData>
    <row r="1" spans="1:5" ht="21" x14ac:dyDescent="0.35">
      <c r="A1" s="69" t="s">
        <v>229</v>
      </c>
      <c r="B1" s="69"/>
      <c r="C1" s="69"/>
      <c r="D1" s="69"/>
      <c r="E1" s="69"/>
    </row>
    <row r="2" spans="1:5" x14ac:dyDescent="0.25">
      <c r="A2" s="15" t="s">
        <v>188</v>
      </c>
      <c r="B2" s="15" t="s">
        <v>187</v>
      </c>
      <c r="C2" s="15" t="s">
        <v>189</v>
      </c>
      <c r="D2" s="15" t="s">
        <v>190</v>
      </c>
      <c r="E2" s="16" t="s">
        <v>193</v>
      </c>
    </row>
    <row r="3" spans="1:5" x14ac:dyDescent="0.25">
      <c r="A3" s="14">
        <v>1</v>
      </c>
      <c r="B3" s="14" t="s">
        <v>83</v>
      </c>
      <c r="C3" s="14">
        <v>2500</v>
      </c>
      <c r="D3" s="14" t="s">
        <v>83</v>
      </c>
      <c r="E3" s="14">
        <f>SUMIF(B2:B32,D3,C2:C32)</f>
        <v>12280</v>
      </c>
    </row>
    <row r="4" spans="1:5" x14ac:dyDescent="0.25">
      <c r="A4" s="14">
        <v>2</v>
      </c>
      <c r="B4" s="14" t="s">
        <v>84</v>
      </c>
      <c r="C4" s="14">
        <v>3800</v>
      </c>
      <c r="D4" s="14" t="s">
        <v>84</v>
      </c>
      <c r="E4" s="14">
        <f t="shared" ref="E4:E10" si="0">SUMIF(B3:B33,D4,C3:C33)</f>
        <v>16000</v>
      </c>
    </row>
    <row r="5" spans="1:5" x14ac:dyDescent="0.25">
      <c r="A5" s="14">
        <v>3</v>
      </c>
      <c r="B5" s="14" t="s">
        <v>87</v>
      </c>
      <c r="C5" s="14">
        <v>350</v>
      </c>
      <c r="D5" s="14" t="s">
        <v>87</v>
      </c>
      <c r="E5" s="14">
        <f t="shared" si="0"/>
        <v>4342</v>
      </c>
    </row>
    <row r="6" spans="1:5" x14ac:dyDescent="0.25">
      <c r="A6" s="14">
        <v>4</v>
      </c>
      <c r="B6" s="14" t="s">
        <v>86</v>
      </c>
      <c r="C6" s="14">
        <v>80</v>
      </c>
      <c r="D6" s="14" t="s">
        <v>86</v>
      </c>
      <c r="E6" s="14">
        <f t="shared" si="0"/>
        <v>4990</v>
      </c>
    </row>
    <row r="7" spans="1:5" x14ac:dyDescent="0.25">
      <c r="A7" s="14">
        <v>5</v>
      </c>
      <c r="B7" s="14" t="s">
        <v>192</v>
      </c>
      <c r="C7" s="14">
        <v>620</v>
      </c>
      <c r="D7" s="14" t="s">
        <v>192</v>
      </c>
      <c r="E7" s="14">
        <f t="shared" si="0"/>
        <v>24280</v>
      </c>
    </row>
    <row r="8" spans="1:5" x14ac:dyDescent="0.25">
      <c r="A8" s="14">
        <v>6</v>
      </c>
      <c r="B8" s="14" t="s">
        <v>194</v>
      </c>
      <c r="C8" s="14">
        <v>2500</v>
      </c>
      <c r="D8" s="14" t="s">
        <v>194</v>
      </c>
      <c r="E8" s="14">
        <f t="shared" si="0"/>
        <v>21830</v>
      </c>
    </row>
    <row r="9" spans="1:5" x14ac:dyDescent="0.25">
      <c r="A9" s="14">
        <v>7</v>
      </c>
      <c r="B9" s="14" t="s">
        <v>195</v>
      </c>
      <c r="C9" s="14">
        <v>2000</v>
      </c>
      <c r="D9" s="14" t="s">
        <v>195</v>
      </c>
      <c r="E9" s="14">
        <f t="shared" si="0"/>
        <v>19050</v>
      </c>
    </row>
    <row r="10" spans="1:5" x14ac:dyDescent="0.25">
      <c r="A10" s="14">
        <v>8</v>
      </c>
      <c r="B10" s="14" t="s">
        <v>191</v>
      </c>
      <c r="C10" s="14">
        <v>3800</v>
      </c>
      <c r="D10" s="14" t="s">
        <v>191</v>
      </c>
      <c r="E10" s="14">
        <f t="shared" si="0"/>
        <v>4890</v>
      </c>
    </row>
    <row r="11" spans="1:5" x14ac:dyDescent="0.25">
      <c r="A11" s="14">
        <v>9</v>
      </c>
      <c r="B11" s="14" t="s">
        <v>83</v>
      </c>
      <c r="C11" s="14">
        <v>2500</v>
      </c>
      <c r="D11" s="14"/>
      <c r="E11" s="1"/>
    </row>
    <row r="12" spans="1:5" x14ac:dyDescent="0.25">
      <c r="A12" s="14">
        <v>10</v>
      </c>
      <c r="B12" s="14" t="s">
        <v>84</v>
      </c>
      <c r="C12" s="14">
        <v>7200</v>
      </c>
      <c r="D12" s="14"/>
      <c r="E12" s="1"/>
    </row>
    <row r="13" spans="1:5" x14ac:dyDescent="0.25">
      <c r="A13" s="14">
        <v>11</v>
      </c>
      <c r="B13" s="14" t="s">
        <v>87</v>
      </c>
      <c r="C13" s="14">
        <v>580</v>
      </c>
      <c r="D13" s="14"/>
      <c r="E13" s="1"/>
    </row>
    <row r="14" spans="1:5" x14ac:dyDescent="0.25">
      <c r="A14" s="14">
        <v>12</v>
      </c>
      <c r="B14" s="14" t="s">
        <v>86</v>
      </c>
      <c r="C14" s="14">
        <v>80</v>
      </c>
      <c r="D14" s="14"/>
      <c r="E14" s="1"/>
    </row>
    <row r="15" spans="1:5" x14ac:dyDescent="0.25">
      <c r="A15" s="14">
        <v>13</v>
      </c>
      <c r="B15" s="14" t="s">
        <v>192</v>
      </c>
      <c r="C15" s="14">
        <v>1860</v>
      </c>
      <c r="D15" s="14"/>
      <c r="E15" s="1"/>
    </row>
    <row r="16" spans="1:5" x14ac:dyDescent="0.25">
      <c r="A16" s="14">
        <v>14</v>
      </c>
      <c r="B16" s="14" t="s">
        <v>194</v>
      </c>
      <c r="C16" s="14">
        <v>2000</v>
      </c>
      <c r="D16" s="14"/>
      <c r="E16" s="1"/>
    </row>
    <row r="17" spans="1:5" x14ac:dyDescent="0.25">
      <c r="A17" s="14">
        <v>15</v>
      </c>
      <c r="B17" s="14" t="s">
        <v>195</v>
      </c>
      <c r="C17" s="14">
        <v>350</v>
      </c>
      <c r="D17" s="14"/>
      <c r="E17" s="1"/>
    </row>
    <row r="18" spans="1:5" x14ac:dyDescent="0.25">
      <c r="A18" s="14">
        <v>16</v>
      </c>
      <c r="B18" s="14" t="s">
        <v>191</v>
      </c>
      <c r="C18" s="14">
        <v>460</v>
      </c>
      <c r="D18" s="14"/>
      <c r="E18" s="1"/>
    </row>
    <row r="19" spans="1:5" x14ac:dyDescent="0.25">
      <c r="A19" s="14">
        <v>17</v>
      </c>
      <c r="B19" s="14" t="s">
        <v>83</v>
      </c>
      <c r="C19" s="14">
        <v>7200</v>
      </c>
      <c r="D19" s="14"/>
      <c r="E19" s="1"/>
    </row>
    <row r="20" spans="1:5" x14ac:dyDescent="0.25">
      <c r="A20" s="14">
        <v>18</v>
      </c>
      <c r="B20" s="14" t="s">
        <v>84</v>
      </c>
      <c r="C20" s="14">
        <v>2500</v>
      </c>
      <c r="D20" s="14"/>
      <c r="E20" s="1"/>
    </row>
    <row r="21" spans="1:5" x14ac:dyDescent="0.25">
      <c r="A21" s="14">
        <v>19</v>
      </c>
      <c r="B21" s="14" t="s">
        <v>87</v>
      </c>
      <c r="C21" s="14">
        <v>212</v>
      </c>
      <c r="D21" s="14" t="s">
        <v>200</v>
      </c>
      <c r="E21" s="1"/>
    </row>
    <row r="22" spans="1:5" x14ac:dyDescent="0.25">
      <c r="A22" s="14">
        <v>20</v>
      </c>
      <c r="B22" s="14" t="s">
        <v>86</v>
      </c>
      <c r="C22" s="14">
        <v>4200</v>
      </c>
      <c r="D22" s="14"/>
      <c r="E22" s="1"/>
    </row>
    <row r="23" spans="1:5" x14ac:dyDescent="0.25">
      <c r="A23" s="14">
        <v>21</v>
      </c>
      <c r="B23" s="14" t="s">
        <v>192</v>
      </c>
      <c r="C23" s="14">
        <v>18000</v>
      </c>
      <c r="D23" s="1"/>
      <c r="E23" s="1"/>
    </row>
    <row r="24" spans="1:5" x14ac:dyDescent="0.25">
      <c r="A24" s="14">
        <v>22</v>
      </c>
      <c r="B24" s="14" t="s">
        <v>194</v>
      </c>
      <c r="C24" s="14">
        <v>16700</v>
      </c>
      <c r="D24" s="1"/>
      <c r="E24" s="1"/>
    </row>
    <row r="25" spans="1:5" x14ac:dyDescent="0.25">
      <c r="A25" s="14">
        <v>23</v>
      </c>
      <c r="B25" s="14" t="s">
        <v>195</v>
      </c>
      <c r="C25" s="14">
        <v>16700</v>
      </c>
      <c r="D25" s="1"/>
      <c r="E25" s="1"/>
    </row>
    <row r="26" spans="1:5" x14ac:dyDescent="0.25">
      <c r="A26" s="14">
        <v>24</v>
      </c>
      <c r="B26" s="14" t="s">
        <v>191</v>
      </c>
      <c r="C26" s="14">
        <v>630</v>
      </c>
      <c r="D26" s="1"/>
      <c r="E26" s="1"/>
    </row>
    <row r="27" spans="1:5" x14ac:dyDescent="0.25">
      <c r="A27" s="14">
        <v>25</v>
      </c>
      <c r="B27" s="14" t="s">
        <v>83</v>
      </c>
      <c r="C27" s="14">
        <v>80</v>
      </c>
      <c r="D27" s="1"/>
      <c r="E27" s="1"/>
    </row>
    <row r="28" spans="1:5" x14ac:dyDescent="0.25">
      <c r="A28" s="14">
        <v>26</v>
      </c>
      <c r="B28" s="14" t="s">
        <v>84</v>
      </c>
      <c r="C28" s="14">
        <v>2500</v>
      </c>
      <c r="D28" s="1"/>
      <c r="E28" s="1"/>
    </row>
    <row r="29" spans="1:5" x14ac:dyDescent="0.25">
      <c r="A29" s="14">
        <v>27</v>
      </c>
      <c r="B29" s="14" t="s">
        <v>87</v>
      </c>
      <c r="C29" s="14">
        <v>3200</v>
      </c>
      <c r="D29" s="1"/>
      <c r="E29" s="1"/>
    </row>
    <row r="30" spans="1:5" x14ac:dyDescent="0.25">
      <c r="A30" s="14">
        <v>28</v>
      </c>
      <c r="B30" s="14" t="s">
        <v>86</v>
      </c>
      <c r="C30" s="14">
        <v>630</v>
      </c>
      <c r="D30" s="1"/>
      <c r="E30" s="1"/>
    </row>
    <row r="31" spans="1:5" x14ac:dyDescent="0.25">
      <c r="A31" s="14">
        <v>29</v>
      </c>
      <c r="B31" s="14" t="s">
        <v>192</v>
      </c>
      <c r="C31" s="14">
        <v>3800</v>
      </c>
      <c r="D31" s="1"/>
      <c r="E31" s="1"/>
    </row>
    <row r="32" spans="1:5" x14ac:dyDescent="0.25">
      <c r="A32" s="14">
        <v>30</v>
      </c>
      <c r="B32" s="14" t="s">
        <v>194</v>
      </c>
      <c r="C32" s="14">
        <v>630</v>
      </c>
      <c r="D32" s="1"/>
      <c r="E32" s="1"/>
    </row>
    <row r="33" spans="2:2" x14ac:dyDescent="0.25">
      <c r="B33" s="12"/>
    </row>
    <row r="34" spans="2:2" x14ac:dyDescent="0.25">
      <c r="B34" s="12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E26" sqref="E26"/>
    </sheetView>
  </sheetViews>
  <sheetFormatPr defaultRowHeight="15" x14ac:dyDescent="0.25"/>
  <cols>
    <col min="2" max="2" width="16.7109375" customWidth="1"/>
    <col min="3" max="3" width="14.42578125" customWidth="1"/>
    <col min="4" max="4" width="17.28515625" customWidth="1"/>
    <col min="5" max="5" width="10" customWidth="1"/>
    <col min="7" max="7" width="14.5703125" customWidth="1"/>
    <col min="8" max="8" width="11.85546875" customWidth="1"/>
  </cols>
  <sheetData>
    <row r="1" spans="1:8" ht="26.25" x14ac:dyDescent="0.4">
      <c r="A1" s="58" t="s">
        <v>202</v>
      </c>
      <c r="B1" s="58"/>
      <c r="C1" s="58"/>
      <c r="D1" s="58"/>
      <c r="E1" s="58"/>
      <c r="F1" s="58"/>
      <c r="G1" s="58"/>
      <c r="H1" s="58"/>
    </row>
    <row r="2" spans="1:8" ht="21" x14ac:dyDescent="0.35">
      <c r="A2" s="65" t="s">
        <v>201</v>
      </c>
      <c r="B2" s="65"/>
      <c r="C2" s="65"/>
      <c r="D2" s="65"/>
      <c r="E2" s="65"/>
      <c r="F2" s="65"/>
      <c r="G2" s="65"/>
      <c r="H2" s="65"/>
    </row>
    <row r="3" spans="1:8" x14ac:dyDescent="0.25">
      <c r="A3" s="21" t="s">
        <v>203</v>
      </c>
      <c r="B3" s="21" t="s">
        <v>204</v>
      </c>
      <c r="C3" s="21" t="s">
        <v>205</v>
      </c>
      <c r="D3" s="21" t="s">
        <v>206</v>
      </c>
      <c r="E3" s="21" t="s">
        <v>207</v>
      </c>
      <c r="F3" s="21" t="s">
        <v>208</v>
      </c>
      <c r="G3" s="21" t="s">
        <v>209</v>
      </c>
      <c r="H3" s="21" t="s">
        <v>210</v>
      </c>
    </row>
    <row r="4" spans="1:8" x14ac:dyDescent="0.25">
      <c r="A4" s="1">
        <v>1</v>
      </c>
      <c r="B4" s="1" t="s">
        <v>63</v>
      </c>
      <c r="C4" s="14">
        <v>80000</v>
      </c>
      <c r="D4" s="34">
        <v>0.05</v>
      </c>
      <c r="E4" s="14">
        <v>4</v>
      </c>
      <c r="F4" s="14">
        <f>C4*D4*E4</f>
        <v>16000</v>
      </c>
      <c r="G4" s="35">
        <f>C4+F4</f>
        <v>96000</v>
      </c>
      <c r="H4" s="36">
        <f>G4/E4/"12"</f>
        <v>2000</v>
      </c>
    </row>
    <row r="5" spans="1:8" x14ac:dyDescent="0.25">
      <c r="A5" s="1">
        <v>2</v>
      </c>
      <c r="B5" s="1" t="s">
        <v>23</v>
      </c>
      <c r="C5" s="14">
        <v>90000</v>
      </c>
      <c r="D5" s="34">
        <v>0.05</v>
      </c>
      <c r="E5" s="14">
        <v>4</v>
      </c>
      <c r="F5" s="14">
        <f t="shared" ref="F5:F23" si="0">C5*D5*E5</f>
        <v>18000</v>
      </c>
      <c r="G5" s="35">
        <f>C5+F5</f>
        <v>108000</v>
      </c>
      <c r="H5" s="36">
        <f t="shared" ref="H5:H23" si="1">G5/E5/"12"</f>
        <v>2250</v>
      </c>
    </row>
    <row r="6" spans="1:8" x14ac:dyDescent="0.25">
      <c r="A6" s="1">
        <v>3</v>
      </c>
      <c r="B6" s="1" t="s">
        <v>211</v>
      </c>
      <c r="C6" s="14">
        <v>40000</v>
      </c>
      <c r="D6" s="34">
        <v>0.05</v>
      </c>
      <c r="E6" s="14">
        <v>4</v>
      </c>
      <c r="F6" s="14">
        <f t="shared" si="0"/>
        <v>8000</v>
      </c>
      <c r="G6" s="35">
        <f t="shared" ref="G6:G23" si="2">C6+F6</f>
        <v>48000</v>
      </c>
      <c r="H6" s="36">
        <f t="shared" si="1"/>
        <v>1000</v>
      </c>
    </row>
    <row r="7" spans="1:8" x14ac:dyDescent="0.25">
      <c r="A7" s="1">
        <v>4</v>
      </c>
      <c r="B7" s="1" t="s">
        <v>212</v>
      </c>
      <c r="C7" s="14">
        <v>75000</v>
      </c>
      <c r="D7" s="34">
        <v>0.05</v>
      </c>
      <c r="E7" s="14">
        <v>4</v>
      </c>
      <c r="F7" s="14">
        <f t="shared" si="0"/>
        <v>15000</v>
      </c>
      <c r="G7" s="35">
        <f t="shared" si="2"/>
        <v>90000</v>
      </c>
      <c r="H7" s="36">
        <f t="shared" si="1"/>
        <v>1875</v>
      </c>
    </row>
    <row r="8" spans="1:8" x14ac:dyDescent="0.25">
      <c r="A8" s="1">
        <v>5</v>
      </c>
      <c r="B8" s="1" t="s">
        <v>213</v>
      </c>
      <c r="C8" s="14">
        <v>80000</v>
      </c>
      <c r="D8" s="34">
        <v>0.05</v>
      </c>
      <c r="E8" s="14">
        <v>4</v>
      </c>
      <c r="F8" s="14">
        <f t="shared" si="0"/>
        <v>16000</v>
      </c>
      <c r="G8" s="35">
        <f t="shared" si="2"/>
        <v>96000</v>
      </c>
      <c r="H8" s="36">
        <f t="shared" si="1"/>
        <v>2000</v>
      </c>
    </row>
    <row r="9" spans="1:8" x14ac:dyDescent="0.25">
      <c r="A9" s="1">
        <v>6</v>
      </c>
      <c r="B9" s="1" t="s">
        <v>214</v>
      </c>
      <c r="C9" s="14">
        <v>120000</v>
      </c>
      <c r="D9" s="34">
        <v>0.05</v>
      </c>
      <c r="E9" s="14">
        <v>4</v>
      </c>
      <c r="F9" s="14">
        <f t="shared" si="0"/>
        <v>24000</v>
      </c>
      <c r="G9" s="35">
        <f t="shared" si="2"/>
        <v>144000</v>
      </c>
      <c r="H9" s="36">
        <f t="shared" si="1"/>
        <v>3000</v>
      </c>
    </row>
    <row r="10" spans="1:8" x14ac:dyDescent="0.25">
      <c r="A10" s="1">
        <v>7</v>
      </c>
      <c r="B10" s="1" t="s">
        <v>215</v>
      </c>
      <c r="C10" s="14">
        <v>260000</v>
      </c>
      <c r="D10" s="34">
        <v>0.05</v>
      </c>
      <c r="E10" s="14">
        <v>4</v>
      </c>
      <c r="F10" s="14">
        <f t="shared" si="0"/>
        <v>52000</v>
      </c>
      <c r="G10" s="35">
        <f t="shared" si="2"/>
        <v>312000</v>
      </c>
      <c r="H10" s="36">
        <f t="shared" si="1"/>
        <v>6500</v>
      </c>
    </row>
    <row r="11" spans="1:8" x14ac:dyDescent="0.25">
      <c r="A11" s="1">
        <v>8</v>
      </c>
      <c r="B11" s="1" t="s">
        <v>216</v>
      </c>
      <c r="C11" s="14">
        <v>560000</v>
      </c>
      <c r="D11" s="34">
        <v>0.05</v>
      </c>
      <c r="E11" s="14">
        <v>4</v>
      </c>
      <c r="F11" s="14">
        <f t="shared" si="0"/>
        <v>112000</v>
      </c>
      <c r="G11" s="35">
        <f t="shared" si="2"/>
        <v>672000</v>
      </c>
      <c r="H11" s="36">
        <f t="shared" si="1"/>
        <v>14000</v>
      </c>
    </row>
    <row r="12" spans="1:8" x14ac:dyDescent="0.25">
      <c r="A12" s="1">
        <v>9</v>
      </c>
      <c r="B12" s="1" t="s">
        <v>217</v>
      </c>
      <c r="C12" s="14">
        <v>70000</v>
      </c>
      <c r="D12" s="34">
        <v>0.05</v>
      </c>
      <c r="E12" s="14">
        <v>4</v>
      </c>
      <c r="F12" s="14">
        <f t="shared" si="0"/>
        <v>14000</v>
      </c>
      <c r="G12" s="35">
        <f t="shared" si="2"/>
        <v>84000</v>
      </c>
      <c r="H12" s="36">
        <f t="shared" si="1"/>
        <v>1750</v>
      </c>
    </row>
    <row r="13" spans="1:8" x14ac:dyDescent="0.25">
      <c r="A13" s="1">
        <v>10</v>
      </c>
      <c r="B13" s="1" t="s">
        <v>218</v>
      </c>
      <c r="C13" s="14">
        <v>55000</v>
      </c>
      <c r="D13" s="34">
        <v>0.05</v>
      </c>
      <c r="E13" s="14">
        <v>4</v>
      </c>
      <c r="F13" s="14">
        <f t="shared" si="0"/>
        <v>11000</v>
      </c>
      <c r="G13" s="35">
        <f t="shared" si="2"/>
        <v>66000</v>
      </c>
      <c r="H13" s="36">
        <f t="shared" si="1"/>
        <v>1375</v>
      </c>
    </row>
    <row r="14" spans="1:8" x14ac:dyDescent="0.25">
      <c r="A14" s="1">
        <v>11</v>
      </c>
      <c r="B14" s="1" t="s">
        <v>220</v>
      </c>
      <c r="C14" s="14">
        <v>20000</v>
      </c>
      <c r="D14" s="34">
        <v>0.05</v>
      </c>
      <c r="E14" s="14">
        <v>4</v>
      </c>
      <c r="F14" s="14">
        <f t="shared" si="0"/>
        <v>4000</v>
      </c>
      <c r="G14" s="35">
        <f t="shared" si="2"/>
        <v>24000</v>
      </c>
      <c r="H14" s="36">
        <f t="shared" si="1"/>
        <v>500</v>
      </c>
    </row>
    <row r="15" spans="1:8" x14ac:dyDescent="0.25">
      <c r="A15" s="1">
        <v>12</v>
      </c>
      <c r="B15" s="1" t="s">
        <v>219</v>
      </c>
      <c r="C15" s="14">
        <v>90000</v>
      </c>
      <c r="D15" s="34">
        <v>0.05</v>
      </c>
      <c r="E15" s="14">
        <v>4</v>
      </c>
      <c r="F15" s="14">
        <f t="shared" si="0"/>
        <v>18000</v>
      </c>
      <c r="G15" s="35">
        <f t="shared" si="2"/>
        <v>108000</v>
      </c>
      <c r="H15" s="36">
        <f t="shared" si="1"/>
        <v>2250</v>
      </c>
    </row>
    <row r="16" spans="1:8" x14ac:dyDescent="0.25">
      <c r="A16" s="1">
        <v>13</v>
      </c>
      <c r="B16" s="1" t="s">
        <v>221</v>
      </c>
      <c r="C16" s="14">
        <v>152000</v>
      </c>
      <c r="D16" s="34">
        <v>0.05</v>
      </c>
      <c r="E16" s="14">
        <v>4</v>
      </c>
      <c r="F16" s="14">
        <f t="shared" si="0"/>
        <v>30400</v>
      </c>
      <c r="G16" s="35">
        <f t="shared" si="2"/>
        <v>182400</v>
      </c>
      <c r="H16" s="36">
        <f t="shared" si="1"/>
        <v>3800</v>
      </c>
    </row>
    <row r="17" spans="1:8" x14ac:dyDescent="0.25">
      <c r="A17" s="1">
        <v>14</v>
      </c>
      <c r="B17" s="1" t="s">
        <v>222</v>
      </c>
      <c r="C17" s="14">
        <v>210000</v>
      </c>
      <c r="D17" s="34">
        <v>0.05</v>
      </c>
      <c r="E17" s="14">
        <v>4</v>
      </c>
      <c r="F17" s="14">
        <f t="shared" si="0"/>
        <v>42000</v>
      </c>
      <c r="G17" s="35">
        <f t="shared" si="2"/>
        <v>252000</v>
      </c>
      <c r="H17" s="36">
        <f t="shared" si="1"/>
        <v>5250</v>
      </c>
    </row>
    <row r="18" spans="1:8" x14ac:dyDescent="0.25">
      <c r="A18" s="1">
        <v>15</v>
      </c>
      <c r="B18" s="1" t="s">
        <v>223</v>
      </c>
      <c r="C18" s="14">
        <v>180000</v>
      </c>
      <c r="D18" s="34">
        <v>0.05</v>
      </c>
      <c r="E18" s="14">
        <v>4</v>
      </c>
      <c r="F18" s="14">
        <f t="shared" si="0"/>
        <v>36000</v>
      </c>
      <c r="G18" s="35">
        <f t="shared" si="2"/>
        <v>216000</v>
      </c>
      <c r="H18" s="36">
        <f t="shared" si="1"/>
        <v>4500</v>
      </c>
    </row>
    <row r="19" spans="1:8" x14ac:dyDescent="0.25">
      <c r="A19" s="1">
        <v>16</v>
      </c>
      <c r="B19" s="1" t="s">
        <v>224</v>
      </c>
      <c r="C19" s="14">
        <v>682000</v>
      </c>
      <c r="D19" s="34">
        <v>0.05</v>
      </c>
      <c r="E19" s="14">
        <v>4</v>
      </c>
      <c r="F19" s="14">
        <f t="shared" si="0"/>
        <v>136400</v>
      </c>
      <c r="G19" s="35">
        <f t="shared" si="2"/>
        <v>818400</v>
      </c>
      <c r="H19" s="36">
        <f t="shared" si="1"/>
        <v>17050</v>
      </c>
    </row>
    <row r="20" spans="1:8" x14ac:dyDescent="0.25">
      <c r="A20" s="1">
        <v>17</v>
      </c>
      <c r="B20" s="1" t="s">
        <v>225</v>
      </c>
      <c r="C20" s="14">
        <v>130000</v>
      </c>
      <c r="D20" s="34">
        <v>0.05</v>
      </c>
      <c r="E20" s="14">
        <v>4</v>
      </c>
      <c r="F20" s="14">
        <f t="shared" si="0"/>
        <v>26000</v>
      </c>
      <c r="G20" s="35">
        <f t="shared" si="2"/>
        <v>156000</v>
      </c>
      <c r="H20" s="36">
        <f t="shared" si="1"/>
        <v>3250</v>
      </c>
    </row>
    <row r="21" spans="1:8" x14ac:dyDescent="0.25">
      <c r="A21" s="1">
        <v>18</v>
      </c>
      <c r="B21" s="1" t="s">
        <v>226</v>
      </c>
      <c r="C21" s="14">
        <v>70000</v>
      </c>
      <c r="D21" s="34">
        <v>0.05</v>
      </c>
      <c r="E21" s="14">
        <v>4</v>
      </c>
      <c r="F21" s="14">
        <f t="shared" si="0"/>
        <v>14000</v>
      </c>
      <c r="G21" s="35">
        <f t="shared" si="2"/>
        <v>84000</v>
      </c>
      <c r="H21" s="36">
        <f t="shared" si="1"/>
        <v>1750</v>
      </c>
    </row>
    <row r="22" spans="1:8" x14ac:dyDescent="0.25">
      <c r="A22" s="1">
        <v>19</v>
      </c>
      <c r="B22" s="1" t="s">
        <v>227</v>
      </c>
      <c r="C22" s="14">
        <v>252000</v>
      </c>
      <c r="D22" s="34">
        <v>0.05</v>
      </c>
      <c r="E22" s="14">
        <v>4</v>
      </c>
      <c r="F22" s="14">
        <f t="shared" si="0"/>
        <v>50400</v>
      </c>
      <c r="G22" s="35">
        <f t="shared" si="2"/>
        <v>302400</v>
      </c>
      <c r="H22" s="36">
        <f t="shared" si="1"/>
        <v>6300</v>
      </c>
    </row>
    <row r="23" spans="1:8" x14ac:dyDescent="0.25">
      <c r="A23" s="1">
        <v>20</v>
      </c>
      <c r="B23" s="1" t="s">
        <v>228</v>
      </c>
      <c r="C23" s="14">
        <v>800000</v>
      </c>
      <c r="D23" s="34">
        <v>0.05</v>
      </c>
      <c r="E23" s="14">
        <v>4</v>
      </c>
      <c r="F23" s="37">
        <f t="shared" si="0"/>
        <v>160000</v>
      </c>
      <c r="G23" s="35">
        <f t="shared" si="2"/>
        <v>960000</v>
      </c>
      <c r="H23" s="36">
        <f t="shared" si="1"/>
        <v>20000</v>
      </c>
    </row>
  </sheetData>
  <mergeCells count="2">
    <mergeCell ref="A1:H1"/>
    <mergeCell ref="A2:H2"/>
  </mergeCells>
  <conditionalFormatting sqref="F4:F2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{18270C17-B220-4E0D-BA5D-2A439679CD39}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270C17-B220-4E0D-BA5D-2A439679CD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F4:F23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zoomScaleNormal="100" workbookViewId="0">
      <selection activeCell="M13" sqref="M13"/>
    </sheetView>
  </sheetViews>
  <sheetFormatPr defaultRowHeight="15" x14ac:dyDescent="0.25"/>
  <cols>
    <col min="2" max="2" width="26.7109375" customWidth="1"/>
    <col min="7" max="7" width="14.42578125" customWidth="1"/>
    <col min="8" max="8" width="9.85546875" bestFit="1" customWidth="1"/>
    <col min="10" max="10" width="13.42578125" customWidth="1"/>
  </cols>
  <sheetData>
    <row r="1" spans="1:11" ht="28.5" x14ac:dyDescent="0.45">
      <c r="A1" s="73" t="s">
        <v>230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1" ht="18.75" x14ac:dyDescent="0.3">
      <c r="A2" s="74" t="s">
        <v>231</v>
      </c>
      <c r="B2" s="74"/>
      <c r="C2" s="74"/>
      <c r="D2" s="74"/>
      <c r="E2" s="74"/>
      <c r="F2" s="74"/>
      <c r="G2" s="74"/>
      <c r="H2" s="74"/>
      <c r="I2" s="74"/>
      <c r="J2" s="74"/>
      <c r="K2" s="74"/>
    </row>
    <row r="3" spans="1:11" ht="26.25" x14ac:dyDescent="0.4">
      <c r="A3" s="75" t="s">
        <v>232</v>
      </c>
      <c r="B3" s="75"/>
      <c r="C3" s="75"/>
      <c r="D3" s="75"/>
      <c r="E3" s="75"/>
      <c r="F3" s="75"/>
      <c r="G3" s="75"/>
      <c r="H3" s="75"/>
      <c r="I3" s="75"/>
      <c r="J3" s="75"/>
      <c r="K3" s="75"/>
    </row>
    <row r="4" spans="1:11" ht="15.75" x14ac:dyDescent="0.25">
      <c r="A4" s="71" t="s">
        <v>233</v>
      </c>
      <c r="B4" s="71"/>
      <c r="C4" s="71"/>
      <c r="D4" s="71"/>
      <c r="E4" s="71"/>
      <c r="F4" s="71"/>
      <c r="G4" s="71"/>
      <c r="H4" s="71"/>
      <c r="I4" s="71"/>
      <c r="J4" s="71"/>
      <c r="K4" s="71"/>
    </row>
    <row r="5" spans="1:11" ht="15.75" x14ac:dyDescent="0.25">
      <c r="A5" s="70" t="s">
        <v>234</v>
      </c>
      <c r="B5" s="70" t="s">
        <v>235</v>
      </c>
      <c r="C5" s="71" t="s">
        <v>236</v>
      </c>
      <c r="D5" s="71"/>
      <c r="E5" s="71"/>
      <c r="F5" s="71"/>
      <c r="G5" s="71"/>
      <c r="H5" s="71"/>
      <c r="I5" s="72" t="s">
        <v>59</v>
      </c>
      <c r="J5" s="70" t="s">
        <v>246</v>
      </c>
      <c r="K5" s="70" t="s">
        <v>247</v>
      </c>
    </row>
    <row r="6" spans="1:11" x14ac:dyDescent="0.25">
      <c r="A6" s="70"/>
      <c r="B6" s="70"/>
      <c r="C6" s="38" t="s">
        <v>237</v>
      </c>
      <c r="D6" s="38" t="s">
        <v>238</v>
      </c>
      <c r="E6" s="38" t="s">
        <v>239</v>
      </c>
      <c r="F6" s="38" t="s">
        <v>240</v>
      </c>
      <c r="G6" s="38" t="s">
        <v>241</v>
      </c>
      <c r="H6" s="38" t="s">
        <v>242</v>
      </c>
      <c r="I6" s="72"/>
      <c r="J6" s="70"/>
      <c r="K6" s="70"/>
    </row>
    <row r="7" spans="1:11" x14ac:dyDescent="0.25">
      <c r="A7" s="12">
        <v>1</v>
      </c>
      <c r="B7" s="12" t="s">
        <v>63</v>
      </c>
      <c r="C7" s="12">
        <v>65</v>
      </c>
      <c r="D7" s="12">
        <v>95</v>
      </c>
      <c r="E7" s="12">
        <v>35</v>
      </c>
      <c r="F7" s="12">
        <v>69</v>
      </c>
      <c r="G7" s="12">
        <v>97</v>
      </c>
      <c r="H7" s="12">
        <v>98</v>
      </c>
      <c r="I7" s="12">
        <f>SUM(C7,D7,E7,F7,G7,H7)</f>
        <v>459</v>
      </c>
      <c r="J7">
        <f>I7/"6"</f>
        <v>76.5</v>
      </c>
      <c r="K7" s="39" t="str">
        <f t="shared" ref="K7:K31" si="0">IF(J7&gt;75,"A",IF(J7&gt;65,"B",IF(J7&gt;60,"C",IF(J7&gt;55,"D"))))</f>
        <v>A</v>
      </c>
    </row>
    <row r="8" spans="1:11" x14ac:dyDescent="0.25">
      <c r="A8" s="12">
        <v>2</v>
      </c>
      <c r="B8" s="12" t="s">
        <v>23</v>
      </c>
      <c r="C8" s="12">
        <v>85</v>
      </c>
      <c r="D8" s="12">
        <v>36</v>
      </c>
      <c r="E8" s="12">
        <v>52</v>
      </c>
      <c r="F8" s="12">
        <v>58</v>
      </c>
      <c r="G8" s="12">
        <v>46</v>
      </c>
      <c r="H8" s="12">
        <v>97</v>
      </c>
      <c r="I8" s="12">
        <f t="shared" ref="I8:I31" si="1">SUM(C8,D8,E8,F8,G8,H8)</f>
        <v>374</v>
      </c>
      <c r="J8">
        <f t="shared" ref="J8:J31" si="2">I8/"6"</f>
        <v>62.333333333333336</v>
      </c>
      <c r="K8" s="39" t="str">
        <f t="shared" si="0"/>
        <v>C</v>
      </c>
    </row>
    <row r="9" spans="1:11" x14ac:dyDescent="0.25">
      <c r="A9" s="12">
        <v>3</v>
      </c>
      <c r="B9" s="12" t="s">
        <v>211</v>
      </c>
      <c r="C9" s="12">
        <v>34</v>
      </c>
      <c r="D9" s="12">
        <v>85</v>
      </c>
      <c r="E9" s="12">
        <v>86</v>
      </c>
      <c r="F9" s="12">
        <v>54</v>
      </c>
      <c r="G9" s="12">
        <v>49</v>
      </c>
      <c r="H9" s="12">
        <v>59</v>
      </c>
      <c r="I9" s="12">
        <f t="shared" si="1"/>
        <v>367</v>
      </c>
      <c r="J9">
        <f t="shared" si="2"/>
        <v>61.166666666666664</v>
      </c>
      <c r="K9" s="39" t="str">
        <f>IF(J9&gt;75,"A",IF(J9&gt;65,"B",IF(J9&gt;60,"C",IF(J9&gt;55,"D"))))</f>
        <v>C</v>
      </c>
    </row>
    <row r="10" spans="1:11" x14ac:dyDescent="0.25">
      <c r="A10" s="12">
        <v>4</v>
      </c>
      <c r="B10" s="12" t="s">
        <v>212</v>
      </c>
      <c r="C10" s="12">
        <v>63</v>
      </c>
      <c r="D10" s="12">
        <v>74</v>
      </c>
      <c r="E10" s="12">
        <v>56</v>
      </c>
      <c r="F10" s="12">
        <v>85</v>
      </c>
      <c r="G10" s="12">
        <v>89</v>
      </c>
      <c r="H10" s="12">
        <v>63</v>
      </c>
      <c r="I10" s="12">
        <f t="shared" si="1"/>
        <v>430</v>
      </c>
      <c r="J10">
        <f t="shared" si="2"/>
        <v>71.666666666666671</v>
      </c>
      <c r="K10" s="39" t="str">
        <f t="shared" si="0"/>
        <v>B</v>
      </c>
    </row>
    <row r="11" spans="1:11" x14ac:dyDescent="0.25">
      <c r="A11" s="12">
        <v>5</v>
      </c>
      <c r="B11" s="12" t="s">
        <v>213</v>
      </c>
      <c r="C11" s="12">
        <v>75</v>
      </c>
      <c r="D11" s="12">
        <v>76</v>
      </c>
      <c r="E11" s="12">
        <v>58</v>
      </c>
      <c r="F11" s="12">
        <v>65</v>
      </c>
      <c r="G11" s="12">
        <v>65</v>
      </c>
      <c r="H11" s="12">
        <v>56</v>
      </c>
      <c r="I11" s="12">
        <f t="shared" si="1"/>
        <v>395</v>
      </c>
      <c r="J11">
        <f t="shared" si="2"/>
        <v>65.833333333333329</v>
      </c>
      <c r="K11" s="39" t="str">
        <f t="shared" si="0"/>
        <v>B</v>
      </c>
    </row>
    <row r="12" spans="1:11" x14ac:dyDescent="0.25">
      <c r="A12" s="12">
        <v>6</v>
      </c>
      <c r="B12" s="12" t="s">
        <v>214</v>
      </c>
      <c r="C12" s="12">
        <v>91</v>
      </c>
      <c r="D12" s="12">
        <v>96</v>
      </c>
      <c r="E12" s="12">
        <v>45</v>
      </c>
      <c r="F12" s="12">
        <v>36</v>
      </c>
      <c r="G12" s="12">
        <v>96</v>
      </c>
      <c r="H12" s="12">
        <v>76</v>
      </c>
      <c r="I12" s="12">
        <f t="shared" si="1"/>
        <v>440</v>
      </c>
      <c r="J12">
        <f t="shared" si="2"/>
        <v>73.333333333333329</v>
      </c>
      <c r="K12" s="39" t="str">
        <f t="shared" si="0"/>
        <v>B</v>
      </c>
    </row>
    <row r="13" spans="1:11" x14ac:dyDescent="0.25">
      <c r="A13" s="12">
        <v>7</v>
      </c>
      <c r="B13" s="12" t="s">
        <v>215</v>
      </c>
      <c r="C13" s="12">
        <v>37</v>
      </c>
      <c r="D13" s="12">
        <v>92</v>
      </c>
      <c r="E13" s="12">
        <v>78</v>
      </c>
      <c r="F13" s="12">
        <v>91</v>
      </c>
      <c r="G13" s="12">
        <v>54</v>
      </c>
      <c r="H13" s="12">
        <v>49</v>
      </c>
      <c r="I13" s="12">
        <f t="shared" si="1"/>
        <v>401</v>
      </c>
      <c r="J13">
        <f t="shared" si="2"/>
        <v>66.833333333333329</v>
      </c>
      <c r="K13" s="39" t="str">
        <f t="shared" si="0"/>
        <v>B</v>
      </c>
    </row>
    <row r="14" spans="1:11" x14ac:dyDescent="0.25">
      <c r="A14" s="12">
        <v>8</v>
      </c>
      <c r="B14" s="12" t="s">
        <v>216</v>
      </c>
      <c r="C14" s="12">
        <v>69</v>
      </c>
      <c r="D14" s="12">
        <v>56</v>
      </c>
      <c r="E14" s="12">
        <v>39</v>
      </c>
      <c r="F14" s="12">
        <v>67</v>
      </c>
      <c r="G14" s="12">
        <v>65</v>
      </c>
      <c r="H14" s="12">
        <v>68</v>
      </c>
      <c r="I14" s="12">
        <f t="shared" si="1"/>
        <v>364</v>
      </c>
      <c r="J14">
        <f t="shared" si="2"/>
        <v>60.666666666666664</v>
      </c>
      <c r="K14" s="39" t="str">
        <f t="shared" si="0"/>
        <v>C</v>
      </c>
    </row>
    <row r="15" spans="1:11" x14ac:dyDescent="0.25">
      <c r="A15" s="12">
        <v>9</v>
      </c>
      <c r="B15" s="12" t="s">
        <v>217</v>
      </c>
      <c r="C15" s="12">
        <v>61</v>
      </c>
      <c r="D15" s="12">
        <v>58</v>
      </c>
      <c r="E15" s="12">
        <v>61</v>
      </c>
      <c r="F15" s="12">
        <v>85</v>
      </c>
      <c r="G15" s="12">
        <v>63</v>
      </c>
      <c r="H15" s="12">
        <v>96</v>
      </c>
      <c r="I15" s="12">
        <f t="shared" si="1"/>
        <v>424</v>
      </c>
      <c r="J15">
        <f t="shared" si="2"/>
        <v>70.666666666666671</v>
      </c>
      <c r="K15" s="39" t="str">
        <f t="shared" si="0"/>
        <v>B</v>
      </c>
    </row>
    <row r="16" spans="1:11" x14ac:dyDescent="0.25">
      <c r="A16" s="12">
        <v>10</v>
      </c>
      <c r="B16" s="12" t="s">
        <v>218</v>
      </c>
      <c r="C16" s="12">
        <v>52</v>
      </c>
      <c r="D16" s="12">
        <v>69</v>
      </c>
      <c r="E16" s="12">
        <v>75</v>
      </c>
      <c r="F16" s="12">
        <v>96</v>
      </c>
      <c r="G16" s="12">
        <v>86</v>
      </c>
      <c r="H16" s="12">
        <v>94</v>
      </c>
      <c r="I16" s="12">
        <f t="shared" si="1"/>
        <v>472</v>
      </c>
      <c r="J16">
        <f t="shared" si="2"/>
        <v>78.666666666666671</v>
      </c>
      <c r="K16" s="39" t="str">
        <f t="shared" si="0"/>
        <v>A</v>
      </c>
    </row>
    <row r="17" spans="1:11" x14ac:dyDescent="0.25">
      <c r="A17" s="12">
        <v>11</v>
      </c>
      <c r="B17" s="12" t="s">
        <v>220</v>
      </c>
      <c r="C17" s="12">
        <v>87</v>
      </c>
      <c r="D17" s="12">
        <v>61</v>
      </c>
      <c r="E17" s="12">
        <v>85</v>
      </c>
      <c r="F17" s="12">
        <v>64</v>
      </c>
      <c r="G17" s="12">
        <v>95</v>
      </c>
      <c r="H17" s="12">
        <v>91</v>
      </c>
      <c r="I17" s="12">
        <f t="shared" si="1"/>
        <v>483</v>
      </c>
      <c r="J17">
        <f t="shared" si="2"/>
        <v>80.5</v>
      </c>
      <c r="K17" s="39" t="str">
        <f t="shared" si="0"/>
        <v>A</v>
      </c>
    </row>
    <row r="18" spans="1:11" x14ac:dyDescent="0.25">
      <c r="A18" s="12">
        <v>12</v>
      </c>
      <c r="B18" s="12" t="s">
        <v>219</v>
      </c>
      <c r="C18" s="12">
        <v>93</v>
      </c>
      <c r="D18" s="12">
        <v>53</v>
      </c>
      <c r="E18" s="12">
        <v>62</v>
      </c>
      <c r="F18" s="12">
        <v>53</v>
      </c>
      <c r="G18" s="12">
        <v>54</v>
      </c>
      <c r="H18" s="12">
        <v>82</v>
      </c>
      <c r="I18" s="12">
        <f t="shared" si="1"/>
        <v>397</v>
      </c>
      <c r="J18">
        <f t="shared" si="2"/>
        <v>66.166666666666671</v>
      </c>
      <c r="K18" s="39" t="str">
        <f t="shared" si="0"/>
        <v>B</v>
      </c>
    </row>
    <row r="19" spans="1:11" x14ac:dyDescent="0.25">
      <c r="A19" s="12">
        <v>13</v>
      </c>
      <c r="B19" s="12" t="s">
        <v>221</v>
      </c>
      <c r="C19" s="12">
        <v>56</v>
      </c>
      <c r="D19" s="12">
        <v>54</v>
      </c>
      <c r="E19" s="12">
        <v>35</v>
      </c>
      <c r="F19" s="12">
        <v>38</v>
      </c>
      <c r="G19" s="12">
        <v>67</v>
      </c>
      <c r="H19" s="12">
        <v>93</v>
      </c>
      <c r="I19" s="12">
        <f t="shared" si="1"/>
        <v>343</v>
      </c>
      <c r="J19">
        <f t="shared" si="2"/>
        <v>57.166666666666664</v>
      </c>
      <c r="K19" s="39" t="str">
        <f t="shared" si="0"/>
        <v>D</v>
      </c>
    </row>
    <row r="20" spans="1:11" x14ac:dyDescent="0.25">
      <c r="A20" s="12">
        <v>14</v>
      </c>
      <c r="B20" s="12" t="s">
        <v>222</v>
      </c>
      <c r="C20" s="12">
        <v>83</v>
      </c>
      <c r="D20" s="12">
        <v>83</v>
      </c>
      <c r="E20" s="12">
        <v>45</v>
      </c>
      <c r="F20" s="12">
        <v>91</v>
      </c>
      <c r="G20" s="12">
        <v>56</v>
      </c>
      <c r="H20" s="12">
        <v>71</v>
      </c>
      <c r="I20" s="12">
        <f t="shared" si="1"/>
        <v>429</v>
      </c>
      <c r="J20">
        <f t="shared" si="2"/>
        <v>71.5</v>
      </c>
      <c r="K20" s="39" t="str">
        <f t="shared" si="0"/>
        <v>B</v>
      </c>
    </row>
    <row r="21" spans="1:11" x14ac:dyDescent="0.25">
      <c r="A21" s="12">
        <v>15</v>
      </c>
      <c r="B21" s="12" t="s">
        <v>223</v>
      </c>
      <c r="C21" s="12">
        <v>69</v>
      </c>
      <c r="D21" s="12">
        <v>59</v>
      </c>
      <c r="E21" s="12">
        <v>46</v>
      </c>
      <c r="F21" s="12">
        <v>86</v>
      </c>
      <c r="G21" s="12">
        <v>35</v>
      </c>
      <c r="H21" s="12">
        <v>86</v>
      </c>
      <c r="I21" s="12">
        <f t="shared" si="1"/>
        <v>381</v>
      </c>
      <c r="J21">
        <f t="shared" si="2"/>
        <v>63.5</v>
      </c>
      <c r="K21" s="39" t="str">
        <f t="shared" si="0"/>
        <v>C</v>
      </c>
    </row>
    <row r="22" spans="1:11" x14ac:dyDescent="0.25">
      <c r="A22" s="12">
        <v>16</v>
      </c>
      <c r="B22" s="12" t="s">
        <v>224</v>
      </c>
      <c r="C22" s="12">
        <v>39</v>
      </c>
      <c r="D22" s="12">
        <v>56</v>
      </c>
      <c r="E22" s="12">
        <v>91</v>
      </c>
      <c r="F22" s="12">
        <v>75</v>
      </c>
      <c r="G22" s="12">
        <v>89</v>
      </c>
      <c r="H22" s="12">
        <v>95</v>
      </c>
      <c r="I22" s="12">
        <f t="shared" si="1"/>
        <v>445</v>
      </c>
      <c r="J22">
        <f t="shared" si="2"/>
        <v>74.166666666666671</v>
      </c>
      <c r="K22" s="39" t="str">
        <f t="shared" si="0"/>
        <v>B</v>
      </c>
    </row>
    <row r="23" spans="1:11" x14ac:dyDescent="0.25">
      <c r="A23" s="12">
        <v>17</v>
      </c>
      <c r="B23" s="12" t="s">
        <v>225</v>
      </c>
      <c r="C23" s="12">
        <v>67</v>
      </c>
      <c r="D23" s="12">
        <v>69</v>
      </c>
      <c r="E23" s="12">
        <v>90</v>
      </c>
      <c r="F23" s="12">
        <v>49</v>
      </c>
      <c r="G23" s="12">
        <v>34</v>
      </c>
      <c r="H23" s="12">
        <v>65</v>
      </c>
      <c r="I23" s="12">
        <f t="shared" si="1"/>
        <v>374</v>
      </c>
      <c r="J23">
        <f t="shared" si="2"/>
        <v>62.333333333333336</v>
      </c>
      <c r="K23" s="39" t="str">
        <f t="shared" si="0"/>
        <v>C</v>
      </c>
    </row>
    <row r="24" spans="1:11" x14ac:dyDescent="0.25">
      <c r="A24" s="12">
        <v>18</v>
      </c>
      <c r="B24" s="12" t="s">
        <v>226</v>
      </c>
      <c r="C24" s="12">
        <v>98</v>
      </c>
      <c r="D24" s="12">
        <v>67</v>
      </c>
      <c r="E24" s="12">
        <v>47</v>
      </c>
      <c r="F24" s="12">
        <v>51</v>
      </c>
      <c r="G24" s="12">
        <v>96</v>
      </c>
      <c r="H24" s="12">
        <v>89</v>
      </c>
      <c r="I24" s="12">
        <f t="shared" si="1"/>
        <v>448</v>
      </c>
      <c r="J24">
        <f t="shared" si="2"/>
        <v>74.666666666666671</v>
      </c>
      <c r="K24" s="39" t="str">
        <f t="shared" si="0"/>
        <v>B</v>
      </c>
    </row>
    <row r="25" spans="1:11" x14ac:dyDescent="0.25">
      <c r="A25" s="12">
        <v>19</v>
      </c>
      <c r="B25" s="12" t="s">
        <v>227</v>
      </c>
      <c r="C25" s="12">
        <v>92</v>
      </c>
      <c r="D25" s="12">
        <v>58</v>
      </c>
      <c r="E25" s="12">
        <v>61</v>
      </c>
      <c r="F25" s="12">
        <v>96</v>
      </c>
      <c r="G25" s="12">
        <v>68</v>
      </c>
      <c r="H25" s="12">
        <v>96</v>
      </c>
      <c r="I25" s="12">
        <f t="shared" si="1"/>
        <v>471</v>
      </c>
      <c r="J25">
        <f t="shared" si="2"/>
        <v>78.5</v>
      </c>
      <c r="K25" s="39" t="str">
        <f t="shared" si="0"/>
        <v>A</v>
      </c>
    </row>
    <row r="26" spans="1:11" x14ac:dyDescent="0.25">
      <c r="A26" s="12">
        <v>20</v>
      </c>
      <c r="B26" s="12" t="s">
        <v>228</v>
      </c>
      <c r="C26" s="12">
        <v>63</v>
      </c>
      <c r="D26" s="12">
        <v>83</v>
      </c>
      <c r="E26" s="12">
        <v>62</v>
      </c>
      <c r="F26" s="12">
        <v>69</v>
      </c>
      <c r="G26" s="12">
        <v>69</v>
      </c>
      <c r="H26" s="12">
        <v>95</v>
      </c>
      <c r="I26" s="12">
        <f t="shared" si="1"/>
        <v>441</v>
      </c>
      <c r="J26">
        <f t="shared" si="2"/>
        <v>73.5</v>
      </c>
      <c r="K26" s="39" t="str">
        <f t="shared" si="0"/>
        <v>B</v>
      </c>
    </row>
    <row r="27" spans="1:11" x14ac:dyDescent="0.25">
      <c r="A27" s="12">
        <v>21</v>
      </c>
      <c r="B27" s="12" t="s">
        <v>243</v>
      </c>
      <c r="C27" s="12">
        <v>94</v>
      </c>
      <c r="D27" s="12">
        <v>34</v>
      </c>
      <c r="E27" s="12">
        <v>58</v>
      </c>
      <c r="F27" s="12">
        <v>86</v>
      </c>
      <c r="G27" s="12">
        <v>46</v>
      </c>
      <c r="H27" s="12">
        <v>86</v>
      </c>
      <c r="I27" s="12">
        <f t="shared" si="1"/>
        <v>404</v>
      </c>
      <c r="J27">
        <f t="shared" si="2"/>
        <v>67.333333333333329</v>
      </c>
      <c r="K27" s="39" t="str">
        <f t="shared" si="0"/>
        <v>B</v>
      </c>
    </row>
    <row r="28" spans="1:11" x14ac:dyDescent="0.25">
      <c r="A28" s="12">
        <v>22</v>
      </c>
      <c r="B28" s="12" t="s">
        <v>27</v>
      </c>
      <c r="C28" s="12">
        <v>85</v>
      </c>
      <c r="D28" s="12">
        <v>76</v>
      </c>
      <c r="E28" s="12">
        <v>62</v>
      </c>
      <c r="F28" s="12">
        <v>44</v>
      </c>
      <c r="G28" s="12">
        <v>49</v>
      </c>
      <c r="H28" s="12">
        <v>56</v>
      </c>
      <c r="I28" s="12">
        <f t="shared" si="1"/>
        <v>372</v>
      </c>
      <c r="J28">
        <f t="shared" si="2"/>
        <v>62</v>
      </c>
      <c r="K28" s="39" t="str">
        <f t="shared" si="0"/>
        <v>C</v>
      </c>
    </row>
    <row r="29" spans="1:11" x14ac:dyDescent="0.25">
      <c r="A29" s="12">
        <v>23</v>
      </c>
      <c r="B29" s="12" t="s">
        <v>244</v>
      </c>
      <c r="C29" s="12">
        <v>65</v>
      </c>
      <c r="D29" s="12">
        <v>85</v>
      </c>
      <c r="E29" s="12">
        <v>73</v>
      </c>
      <c r="F29" s="12">
        <v>86</v>
      </c>
      <c r="G29" s="12">
        <v>39</v>
      </c>
      <c r="H29" s="12">
        <v>59</v>
      </c>
      <c r="I29" s="12">
        <f t="shared" si="1"/>
        <v>407</v>
      </c>
      <c r="J29">
        <f t="shared" si="2"/>
        <v>67.833333333333329</v>
      </c>
      <c r="K29" s="39" t="str">
        <f t="shared" si="0"/>
        <v>B</v>
      </c>
    </row>
    <row r="30" spans="1:11" x14ac:dyDescent="0.25">
      <c r="A30" s="12">
        <v>24</v>
      </c>
      <c r="B30" s="12" t="s">
        <v>245</v>
      </c>
      <c r="C30" s="12">
        <v>51</v>
      </c>
      <c r="D30" s="12">
        <v>33</v>
      </c>
      <c r="E30" s="12">
        <v>62</v>
      </c>
      <c r="F30" s="12">
        <v>73</v>
      </c>
      <c r="G30" s="12">
        <v>90</v>
      </c>
      <c r="H30" s="12">
        <v>91</v>
      </c>
      <c r="I30" s="12">
        <f t="shared" si="1"/>
        <v>400</v>
      </c>
      <c r="J30">
        <f t="shared" si="2"/>
        <v>66.666666666666671</v>
      </c>
      <c r="K30" s="39" t="str">
        <f t="shared" si="0"/>
        <v>B</v>
      </c>
    </row>
    <row r="31" spans="1:11" x14ac:dyDescent="0.25">
      <c r="A31" s="12">
        <v>25</v>
      </c>
      <c r="B31" s="12" t="s">
        <v>248</v>
      </c>
      <c r="C31" s="12">
        <v>83</v>
      </c>
      <c r="D31" s="12">
        <v>87</v>
      </c>
      <c r="E31" s="12">
        <v>51</v>
      </c>
      <c r="F31" s="12">
        <v>69</v>
      </c>
      <c r="G31" s="12">
        <v>86</v>
      </c>
      <c r="H31" s="12">
        <v>73</v>
      </c>
      <c r="I31" s="12">
        <f t="shared" si="1"/>
        <v>449</v>
      </c>
      <c r="J31">
        <f t="shared" si="2"/>
        <v>74.833333333333329</v>
      </c>
      <c r="K31" s="39" t="str">
        <f t="shared" si="0"/>
        <v>B</v>
      </c>
    </row>
    <row r="32" spans="1:11" x14ac:dyDescent="0.25">
      <c r="G32" s="12"/>
      <c r="H32" s="12"/>
    </row>
  </sheetData>
  <mergeCells count="10">
    <mergeCell ref="A5:A6"/>
    <mergeCell ref="B5:B6"/>
    <mergeCell ref="C5:H5"/>
    <mergeCell ref="I5:I6"/>
    <mergeCell ref="A1:K1"/>
    <mergeCell ref="A2:K2"/>
    <mergeCell ref="A3:K3"/>
    <mergeCell ref="A4:K4"/>
    <mergeCell ref="J5:J6"/>
    <mergeCell ref="K5:K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opLeftCell="B1" workbookViewId="0">
      <selection activeCell="J11" sqref="J11"/>
    </sheetView>
  </sheetViews>
  <sheetFormatPr defaultRowHeight="15" x14ac:dyDescent="0.25"/>
  <cols>
    <col min="5" max="5" width="11.85546875" customWidth="1"/>
    <col min="6" max="6" width="15.5703125" customWidth="1"/>
    <col min="7" max="7" width="11.7109375" customWidth="1"/>
    <col min="8" max="8" width="15.5703125" customWidth="1"/>
    <col min="9" max="9" width="12.85546875" customWidth="1"/>
  </cols>
  <sheetData>
    <row r="1" spans="1:9" ht="23.25" x14ac:dyDescent="0.35">
      <c r="A1" s="1"/>
      <c r="B1" s="76" t="s">
        <v>289</v>
      </c>
      <c r="C1" s="77"/>
      <c r="D1" s="77"/>
      <c r="E1" s="77"/>
      <c r="F1" s="77"/>
      <c r="G1" s="77"/>
      <c r="H1" s="77"/>
      <c r="I1" s="78"/>
    </row>
    <row r="2" spans="1:9" x14ac:dyDescent="0.25">
      <c r="A2" s="15" t="s">
        <v>249</v>
      </c>
      <c r="B2" s="15" t="s">
        <v>2</v>
      </c>
      <c r="C2" s="15" t="s">
        <v>250</v>
      </c>
      <c r="D2" s="15" t="s">
        <v>251</v>
      </c>
      <c r="E2" s="15" t="s">
        <v>252</v>
      </c>
      <c r="F2" s="15" t="s">
        <v>253</v>
      </c>
      <c r="G2" s="15" t="s">
        <v>254</v>
      </c>
      <c r="H2" s="15" t="s">
        <v>255</v>
      </c>
      <c r="I2" s="15" t="s">
        <v>59</v>
      </c>
    </row>
    <row r="3" spans="1:9" x14ac:dyDescent="0.25">
      <c r="A3" s="14" t="s">
        <v>256</v>
      </c>
      <c r="B3" s="40">
        <v>45658</v>
      </c>
      <c r="C3" s="14" t="s">
        <v>274</v>
      </c>
      <c r="D3" s="14" t="s">
        <v>275</v>
      </c>
      <c r="E3" s="14" t="s">
        <v>279</v>
      </c>
      <c r="F3" s="14" t="s">
        <v>283</v>
      </c>
      <c r="G3" s="41">
        <v>33</v>
      </c>
      <c r="H3" s="42">
        <v>89</v>
      </c>
      <c r="I3" s="43">
        <f>G3*H3</f>
        <v>2937</v>
      </c>
    </row>
    <row r="4" spans="1:9" x14ac:dyDescent="0.25">
      <c r="A4" s="14" t="s">
        <v>257</v>
      </c>
      <c r="B4" s="40">
        <v>45659</v>
      </c>
      <c r="C4" s="14" t="s">
        <v>274</v>
      </c>
      <c r="D4" s="14" t="s">
        <v>276</v>
      </c>
      <c r="E4" s="14" t="s">
        <v>280</v>
      </c>
      <c r="F4" s="14" t="s">
        <v>284</v>
      </c>
      <c r="G4" s="41">
        <v>599</v>
      </c>
      <c r="H4" s="42">
        <v>56</v>
      </c>
      <c r="I4" s="43">
        <f t="shared" ref="I4:I21" si="0">G4*H4</f>
        <v>33544</v>
      </c>
    </row>
    <row r="5" spans="1:9" x14ac:dyDescent="0.25">
      <c r="A5" s="14" t="s">
        <v>258</v>
      </c>
      <c r="B5" s="40">
        <v>45661</v>
      </c>
      <c r="C5" s="14" t="s">
        <v>274</v>
      </c>
      <c r="D5" s="14" t="s">
        <v>277</v>
      </c>
      <c r="E5" s="14" t="s">
        <v>281</v>
      </c>
      <c r="F5" s="14" t="s">
        <v>285</v>
      </c>
      <c r="G5" s="41">
        <v>415</v>
      </c>
      <c r="H5" s="42">
        <v>45</v>
      </c>
      <c r="I5" s="43">
        <f t="shared" si="0"/>
        <v>18675</v>
      </c>
    </row>
    <row r="6" spans="1:9" x14ac:dyDescent="0.25">
      <c r="A6" s="14" t="s">
        <v>259</v>
      </c>
      <c r="B6" s="40">
        <v>45661</v>
      </c>
      <c r="C6" s="14" t="s">
        <v>274</v>
      </c>
      <c r="D6" s="14" t="s">
        <v>277</v>
      </c>
      <c r="E6" s="14" t="s">
        <v>281</v>
      </c>
      <c r="F6" s="14" t="s">
        <v>285</v>
      </c>
      <c r="G6" s="41">
        <v>45</v>
      </c>
      <c r="H6" s="42">
        <v>45</v>
      </c>
      <c r="I6" s="43">
        <f t="shared" si="0"/>
        <v>2025</v>
      </c>
    </row>
    <row r="7" spans="1:9" x14ac:dyDescent="0.25">
      <c r="A7" s="14" t="s">
        <v>260</v>
      </c>
      <c r="B7" s="40">
        <v>45661</v>
      </c>
      <c r="C7" s="14" t="s">
        <v>274</v>
      </c>
      <c r="D7" s="14" t="s">
        <v>277</v>
      </c>
      <c r="E7" s="14" t="s">
        <v>281</v>
      </c>
      <c r="F7" s="14" t="s">
        <v>285</v>
      </c>
      <c r="G7" s="41">
        <v>5545</v>
      </c>
      <c r="H7" s="42">
        <v>45</v>
      </c>
      <c r="I7" s="43">
        <f t="shared" si="0"/>
        <v>249525</v>
      </c>
    </row>
    <row r="8" spans="1:9" x14ac:dyDescent="0.25">
      <c r="A8" s="14" t="s">
        <v>261</v>
      </c>
      <c r="B8" s="40">
        <v>45661</v>
      </c>
      <c r="C8" s="14" t="s">
        <v>274</v>
      </c>
      <c r="D8" s="14" t="s">
        <v>277</v>
      </c>
      <c r="E8" s="14" t="s">
        <v>288</v>
      </c>
      <c r="F8" s="14" t="s">
        <v>287</v>
      </c>
      <c r="G8" s="41">
        <v>5585</v>
      </c>
      <c r="H8" s="42">
        <v>256</v>
      </c>
      <c r="I8" s="43">
        <f t="shared" si="0"/>
        <v>1429760</v>
      </c>
    </row>
    <row r="9" spans="1:9" x14ac:dyDescent="0.25">
      <c r="A9" s="14" t="s">
        <v>262</v>
      </c>
      <c r="B9" s="40">
        <v>45662</v>
      </c>
      <c r="C9" s="14" t="s">
        <v>274</v>
      </c>
      <c r="D9" s="14" t="s">
        <v>278</v>
      </c>
      <c r="E9" s="14" t="s">
        <v>281</v>
      </c>
      <c r="F9" s="14" t="s">
        <v>285</v>
      </c>
      <c r="G9" s="41">
        <v>47898</v>
      </c>
      <c r="H9" s="42">
        <v>89</v>
      </c>
      <c r="I9" s="43">
        <f t="shared" si="0"/>
        <v>4262922</v>
      </c>
    </row>
    <row r="10" spans="1:9" x14ac:dyDescent="0.25">
      <c r="A10" s="14" t="s">
        <v>263</v>
      </c>
      <c r="B10" s="40">
        <v>45662</v>
      </c>
      <c r="C10" s="14" t="s">
        <v>274</v>
      </c>
      <c r="D10" s="14" t="s">
        <v>278</v>
      </c>
      <c r="E10" s="14" t="s">
        <v>282</v>
      </c>
      <c r="F10" s="14" t="s">
        <v>286</v>
      </c>
      <c r="G10" s="41">
        <v>4424</v>
      </c>
      <c r="H10" s="42">
        <v>569</v>
      </c>
      <c r="I10" s="43">
        <f t="shared" si="0"/>
        <v>2517256</v>
      </c>
    </row>
    <row r="11" spans="1:9" x14ac:dyDescent="0.25">
      <c r="A11" s="14" t="s">
        <v>264</v>
      </c>
      <c r="B11" s="40">
        <v>45662</v>
      </c>
      <c r="C11" s="14" t="s">
        <v>274</v>
      </c>
      <c r="D11" s="14" t="s">
        <v>278</v>
      </c>
      <c r="E11" s="14" t="s">
        <v>282</v>
      </c>
      <c r="F11" s="14" t="s">
        <v>286</v>
      </c>
      <c r="G11" s="41">
        <v>224</v>
      </c>
      <c r="H11" s="42">
        <v>569</v>
      </c>
      <c r="I11" s="43">
        <f>G11*H11</f>
        <v>127456</v>
      </c>
    </row>
    <row r="12" spans="1:9" x14ac:dyDescent="0.25">
      <c r="A12" s="14" t="s">
        <v>265</v>
      </c>
      <c r="B12" s="40">
        <v>45662</v>
      </c>
      <c r="C12" s="14" t="s">
        <v>274</v>
      </c>
      <c r="D12" s="14" t="s">
        <v>278</v>
      </c>
      <c r="E12" s="14" t="s">
        <v>282</v>
      </c>
      <c r="F12" s="14" t="s">
        <v>286</v>
      </c>
      <c r="G12" s="41">
        <v>455</v>
      </c>
      <c r="H12" s="42">
        <v>569</v>
      </c>
      <c r="I12" s="43">
        <f t="shared" si="0"/>
        <v>258895</v>
      </c>
    </row>
    <row r="13" spans="1:9" x14ac:dyDescent="0.25">
      <c r="A13" s="14" t="s">
        <v>266</v>
      </c>
      <c r="B13" s="40">
        <v>45663</v>
      </c>
      <c r="C13" s="14" t="s">
        <v>274</v>
      </c>
      <c r="D13" s="14" t="s">
        <v>275</v>
      </c>
      <c r="E13" s="14" t="s">
        <v>282</v>
      </c>
      <c r="F13" s="14" t="s">
        <v>286</v>
      </c>
      <c r="G13" s="41">
        <v>4556</v>
      </c>
      <c r="H13" s="42">
        <v>125</v>
      </c>
      <c r="I13" s="43">
        <f t="shared" si="0"/>
        <v>569500</v>
      </c>
    </row>
    <row r="14" spans="1:9" x14ac:dyDescent="0.25">
      <c r="A14" s="14" t="s">
        <v>267</v>
      </c>
      <c r="B14" s="40">
        <v>45663</v>
      </c>
      <c r="C14" s="14" t="s">
        <v>274</v>
      </c>
      <c r="D14" s="14" t="s">
        <v>275</v>
      </c>
      <c r="E14" s="14" t="s">
        <v>282</v>
      </c>
      <c r="F14" s="14" t="s">
        <v>286</v>
      </c>
      <c r="G14" s="41">
        <v>4142</v>
      </c>
      <c r="H14" s="42">
        <v>125</v>
      </c>
      <c r="I14" s="43">
        <f t="shared" si="0"/>
        <v>517750</v>
      </c>
    </row>
    <row r="15" spans="1:9" x14ac:dyDescent="0.25">
      <c r="A15" s="14" t="s">
        <v>268</v>
      </c>
      <c r="B15" s="40">
        <v>45667</v>
      </c>
      <c r="C15" s="14" t="s">
        <v>274</v>
      </c>
      <c r="D15" s="14" t="s">
        <v>277</v>
      </c>
      <c r="E15" s="14" t="s">
        <v>279</v>
      </c>
      <c r="F15" s="14" t="s">
        <v>283</v>
      </c>
      <c r="G15" s="41">
        <v>396</v>
      </c>
      <c r="H15" s="42">
        <v>97</v>
      </c>
      <c r="I15" s="43">
        <f t="shared" si="0"/>
        <v>38412</v>
      </c>
    </row>
    <row r="16" spans="1:9" x14ac:dyDescent="0.25">
      <c r="A16" s="14" t="s">
        <v>268</v>
      </c>
      <c r="B16" s="40">
        <v>45667</v>
      </c>
      <c r="C16" s="14" t="s">
        <v>274</v>
      </c>
      <c r="D16" s="14" t="s">
        <v>277</v>
      </c>
      <c r="E16" s="14" t="s">
        <v>279</v>
      </c>
      <c r="F16" s="14" t="s">
        <v>283</v>
      </c>
      <c r="G16" s="41">
        <v>9858</v>
      </c>
      <c r="H16" s="42">
        <v>97</v>
      </c>
      <c r="I16" s="43">
        <f t="shared" si="0"/>
        <v>956226</v>
      </c>
    </row>
    <row r="17" spans="1:9" x14ac:dyDescent="0.25">
      <c r="A17" s="14" t="s">
        <v>269</v>
      </c>
      <c r="B17" s="40">
        <v>45667</v>
      </c>
      <c r="C17" s="14" t="s">
        <v>274</v>
      </c>
      <c r="D17" s="14" t="s">
        <v>277</v>
      </c>
      <c r="E17" s="14" t="s">
        <v>280</v>
      </c>
      <c r="F17" s="14" t="s">
        <v>284</v>
      </c>
      <c r="G17" s="41">
        <v>8455</v>
      </c>
      <c r="H17" s="42">
        <v>53</v>
      </c>
      <c r="I17" s="43">
        <f t="shared" si="0"/>
        <v>448115</v>
      </c>
    </row>
    <row r="18" spans="1:9" x14ac:dyDescent="0.25">
      <c r="A18" s="14" t="s">
        <v>270</v>
      </c>
      <c r="B18" s="40">
        <v>45667</v>
      </c>
      <c r="C18" s="14" t="s">
        <v>274</v>
      </c>
      <c r="D18" s="14" t="s">
        <v>277</v>
      </c>
      <c r="E18" s="14" t="s">
        <v>282</v>
      </c>
      <c r="F18" s="14" t="s">
        <v>286</v>
      </c>
      <c r="G18" s="41">
        <v>4987</v>
      </c>
      <c r="H18" s="42">
        <v>430</v>
      </c>
      <c r="I18" s="43">
        <f>G18*H18</f>
        <v>2144410</v>
      </c>
    </row>
    <row r="19" spans="1:9" x14ac:dyDescent="0.25">
      <c r="A19" s="14" t="s">
        <v>271</v>
      </c>
      <c r="B19" s="40">
        <v>45667</v>
      </c>
      <c r="C19" s="14" t="s">
        <v>274</v>
      </c>
      <c r="D19" s="14" t="s">
        <v>277</v>
      </c>
      <c r="E19" s="14" t="s">
        <v>281</v>
      </c>
      <c r="F19" s="14" t="s">
        <v>285</v>
      </c>
      <c r="G19" s="41">
        <v>98</v>
      </c>
      <c r="H19" s="42">
        <v>45</v>
      </c>
      <c r="I19" s="43">
        <f t="shared" si="0"/>
        <v>4410</v>
      </c>
    </row>
    <row r="20" spans="1:9" x14ac:dyDescent="0.25">
      <c r="A20" s="14" t="s">
        <v>272</v>
      </c>
      <c r="B20" s="40">
        <v>45668</v>
      </c>
      <c r="C20" s="14" t="s">
        <v>274</v>
      </c>
      <c r="D20" s="14" t="s">
        <v>275</v>
      </c>
      <c r="E20" s="14" t="s">
        <v>281</v>
      </c>
      <c r="F20" s="14" t="s">
        <v>285</v>
      </c>
      <c r="G20" s="41">
        <v>45656</v>
      </c>
      <c r="H20" s="42">
        <v>48</v>
      </c>
      <c r="I20" s="43">
        <f t="shared" si="0"/>
        <v>2191488</v>
      </c>
    </row>
    <row r="21" spans="1:9" x14ac:dyDescent="0.25">
      <c r="A21" s="14" t="s">
        <v>273</v>
      </c>
      <c r="B21" s="40">
        <v>45668</v>
      </c>
      <c r="C21" s="14" t="s">
        <v>274</v>
      </c>
      <c r="D21" s="14" t="s">
        <v>275</v>
      </c>
      <c r="E21" s="14" t="s">
        <v>281</v>
      </c>
      <c r="F21" s="14" t="s">
        <v>285</v>
      </c>
      <c r="G21" s="41">
        <v>688</v>
      </c>
      <c r="H21" s="14">
        <v>48</v>
      </c>
      <c r="I21" s="43">
        <f t="shared" si="0"/>
        <v>33024</v>
      </c>
    </row>
    <row r="22" spans="1:9" ht="15.75" x14ac:dyDescent="0.25">
      <c r="A22" s="57" t="s">
        <v>59</v>
      </c>
      <c r="B22" s="57"/>
      <c r="C22" s="57"/>
      <c r="D22" s="57"/>
      <c r="E22" s="57"/>
      <c r="F22" s="57"/>
      <c r="G22" s="15">
        <f>SUM(G3:G21)</f>
        <v>144059</v>
      </c>
      <c r="H22" s="1"/>
      <c r="I22" s="16">
        <f>SUM(I3:I21)</f>
        <v>15806330</v>
      </c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</sheetData>
  <autoFilter ref="A2:I22"/>
  <mergeCells count="2">
    <mergeCell ref="A22:F22"/>
    <mergeCell ref="B1:I1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workbookViewId="0">
      <selection activeCell="D3" sqref="D3"/>
    </sheetView>
  </sheetViews>
  <sheetFormatPr defaultRowHeight="15" x14ac:dyDescent="0.25"/>
  <cols>
    <col min="1" max="1" width="13" customWidth="1"/>
    <col min="2" max="2" width="18.7109375" customWidth="1"/>
    <col min="3" max="3" width="7.7109375" customWidth="1"/>
    <col min="5" max="5" width="12.140625" customWidth="1"/>
    <col min="6" max="6" width="13.140625" customWidth="1"/>
    <col min="7" max="7" width="11.140625" customWidth="1"/>
    <col min="9" max="9" width="12" customWidth="1"/>
  </cols>
  <sheetData>
    <row r="2" spans="1:13" x14ac:dyDescent="0.25">
      <c r="A2" s="38" t="s">
        <v>290</v>
      </c>
      <c r="B2" s="13" t="s">
        <v>291</v>
      </c>
      <c r="C2" s="38" t="s">
        <v>295</v>
      </c>
      <c r="D2" s="38" t="s">
        <v>292</v>
      </c>
      <c r="E2" s="38" t="s">
        <v>293</v>
      </c>
      <c r="F2" s="38" t="s">
        <v>294</v>
      </c>
      <c r="G2" s="38" t="s">
        <v>296</v>
      </c>
      <c r="H2" s="38" t="s">
        <v>297</v>
      </c>
      <c r="I2" s="38" t="s">
        <v>301</v>
      </c>
      <c r="J2" s="38" t="s">
        <v>302</v>
      </c>
      <c r="K2" s="38" t="s">
        <v>298</v>
      </c>
      <c r="L2" s="38" t="s">
        <v>299</v>
      </c>
      <c r="M2" s="38" t="s">
        <v>300</v>
      </c>
    </row>
    <row r="3" spans="1:13" x14ac:dyDescent="0.25">
      <c r="A3" s="12" t="s">
        <v>303</v>
      </c>
      <c r="B3" s="38" t="s">
        <v>326</v>
      </c>
      <c r="C3" s="12">
        <v>27</v>
      </c>
    </row>
    <row r="4" spans="1:13" x14ac:dyDescent="0.25">
      <c r="A4" s="12" t="s">
        <v>304</v>
      </c>
      <c r="B4" s="38" t="s">
        <v>327</v>
      </c>
      <c r="C4" s="12">
        <v>32</v>
      </c>
      <c r="E4" s="12"/>
    </row>
    <row r="5" spans="1:13" x14ac:dyDescent="0.25">
      <c r="A5" s="12" t="s">
        <v>305</v>
      </c>
      <c r="B5" s="38" t="s">
        <v>328</v>
      </c>
      <c r="C5" s="12">
        <v>56</v>
      </c>
    </row>
    <row r="6" spans="1:13" x14ac:dyDescent="0.25">
      <c r="A6" s="12" t="s">
        <v>306</v>
      </c>
      <c r="B6" s="38" t="s">
        <v>329</v>
      </c>
      <c r="C6" s="12">
        <v>35</v>
      </c>
    </row>
    <row r="7" spans="1:13" x14ac:dyDescent="0.25">
      <c r="A7" s="12" t="s">
        <v>307</v>
      </c>
      <c r="B7" s="38" t="s">
        <v>330</v>
      </c>
      <c r="C7" s="12">
        <v>26</v>
      </c>
    </row>
    <row r="8" spans="1:13" x14ac:dyDescent="0.25">
      <c r="A8" s="12" t="s">
        <v>308</v>
      </c>
      <c r="B8" s="38" t="s">
        <v>331</v>
      </c>
      <c r="C8" s="12">
        <v>25</v>
      </c>
    </row>
    <row r="9" spans="1:13" x14ac:dyDescent="0.25">
      <c r="A9" s="12" t="s">
        <v>309</v>
      </c>
      <c r="B9" s="38" t="s">
        <v>332</v>
      </c>
      <c r="C9" s="12">
        <v>45</v>
      </c>
    </row>
    <row r="10" spans="1:13" x14ac:dyDescent="0.25">
      <c r="A10" s="12" t="s">
        <v>310</v>
      </c>
      <c r="B10" s="38" t="s">
        <v>333</v>
      </c>
      <c r="C10" s="12">
        <v>31</v>
      </c>
    </row>
    <row r="11" spans="1:13" x14ac:dyDescent="0.25">
      <c r="A11" s="12" t="s">
        <v>311</v>
      </c>
      <c r="B11" s="38" t="s">
        <v>334</v>
      </c>
      <c r="C11" s="12">
        <v>39</v>
      </c>
    </row>
    <row r="12" spans="1:13" x14ac:dyDescent="0.25">
      <c r="A12" s="12" t="s">
        <v>312</v>
      </c>
      <c r="B12" s="38" t="s">
        <v>335</v>
      </c>
      <c r="C12" s="12">
        <v>38</v>
      </c>
    </row>
    <row r="13" spans="1:13" x14ac:dyDescent="0.25">
      <c r="A13" s="12" t="s">
        <v>313</v>
      </c>
      <c r="B13" s="38" t="s">
        <v>336</v>
      </c>
      <c r="C13" s="12">
        <v>21</v>
      </c>
    </row>
    <row r="14" spans="1:13" x14ac:dyDescent="0.25">
      <c r="A14" s="12" t="s">
        <v>314</v>
      </c>
      <c r="B14" s="38" t="s">
        <v>337</v>
      </c>
      <c r="C14" s="12">
        <v>26</v>
      </c>
    </row>
    <row r="15" spans="1:13" x14ac:dyDescent="0.25">
      <c r="A15" s="12" t="s">
        <v>314</v>
      </c>
      <c r="B15" s="38" t="s">
        <v>338</v>
      </c>
      <c r="C15" s="12">
        <v>19</v>
      </c>
    </row>
    <row r="16" spans="1:13" x14ac:dyDescent="0.25">
      <c r="A16" s="12" t="s">
        <v>315</v>
      </c>
      <c r="B16" s="38" t="s">
        <v>221</v>
      </c>
      <c r="C16" s="12">
        <v>37</v>
      </c>
    </row>
    <row r="17" spans="1:3" x14ac:dyDescent="0.25">
      <c r="A17" s="12" t="s">
        <v>316</v>
      </c>
      <c r="B17" s="38" t="s">
        <v>339</v>
      </c>
      <c r="C17" s="12">
        <v>29</v>
      </c>
    </row>
    <row r="18" spans="1:3" x14ac:dyDescent="0.25">
      <c r="A18" s="12" t="s">
        <v>317</v>
      </c>
      <c r="B18" s="38" t="s">
        <v>340</v>
      </c>
      <c r="C18" s="12">
        <v>34</v>
      </c>
    </row>
    <row r="19" spans="1:3" x14ac:dyDescent="0.25">
      <c r="A19" s="12" t="s">
        <v>318</v>
      </c>
      <c r="B19" s="38" t="s">
        <v>341</v>
      </c>
      <c r="C19" s="12">
        <v>29</v>
      </c>
    </row>
    <row r="20" spans="1:3" x14ac:dyDescent="0.25">
      <c r="A20" s="12" t="s">
        <v>319</v>
      </c>
      <c r="B20" s="38" t="s">
        <v>342</v>
      </c>
      <c r="C20" s="12">
        <v>28</v>
      </c>
    </row>
    <row r="21" spans="1:3" x14ac:dyDescent="0.25">
      <c r="A21" s="12" t="s">
        <v>320</v>
      </c>
      <c r="B21" s="38" t="s">
        <v>343</v>
      </c>
      <c r="C21" s="12">
        <v>26</v>
      </c>
    </row>
    <row r="22" spans="1:3" x14ac:dyDescent="0.25">
      <c r="A22" s="12" t="s">
        <v>321</v>
      </c>
      <c r="B22" s="38" t="s">
        <v>344</v>
      </c>
      <c r="C22" s="12">
        <v>22</v>
      </c>
    </row>
    <row r="23" spans="1:3" x14ac:dyDescent="0.25">
      <c r="A23" s="12" t="s">
        <v>322</v>
      </c>
      <c r="B23" s="38" t="s">
        <v>25</v>
      </c>
      <c r="C23" s="12">
        <v>31</v>
      </c>
    </row>
    <row r="24" spans="1:3" x14ac:dyDescent="0.25">
      <c r="A24" s="12" t="s">
        <v>323</v>
      </c>
      <c r="B24" s="38" t="s">
        <v>345</v>
      </c>
      <c r="C24" s="12">
        <v>27</v>
      </c>
    </row>
    <row r="25" spans="1:3" x14ac:dyDescent="0.25">
      <c r="A25" s="12" t="s">
        <v>324</v>
      </c>
      <c r="B25" s="38" t="s">
        <v>346</v>
      </c>
      <c r="C25" s="12">
        <v>34</v>
      </c>
    </row>
    <row r="26" spans="1:3" x14ac:dyDescent="0.25">
      <c r="A26" s="12" t="s">
        <v>325</v>
      </c>
      <c r="B26" s="38" t="s">
        <v>347</v>
      </c>
      <c r="C26" s="1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cashbook </vt:lpstr>
      <vt:lpstr>attendence</vt:lpstr>
      <vt:lpstr>trial balance of xyz</vt:lpstr>
      <vt:lpstr>customer details</vt:lpstr>
      <vt:lpstr>cashbook report of aarvi</vt:lpstr>
      <vt:lpstr>salary sheet</vt:lpstr>
      <vt:lpstr>khanan udhyog</vt:lpstr>
      <vt:lpstr>Sheet1</vt:lpstr>
      <vt:lpstr>Sheet2</vt:lpstr>
      <vt:lpstr>Sheet3</vt:lpstr>
      <vt:lpstr>Sheet4</vt:lpstr>
      <vt:lpstr>Sheet5</vt:lpstr>
      <vt:lpstr>HRA</vt:lpstr>
      <vt:lpstr>NET_PAYABLE</vt:lpstr>
      <vt:lpstr>SPECIAL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User-4</dc:creator>
  <cp:lastModifiedBy>Hardic Singh</cp:lastModifiedBy>
  <cp:lastPrinted>2025-07-16T04:31:25Z</cp:lastPrinted>
  <dcterms:created xsi:type="dcterms:W3CDTF">2025-07-07T04:18:47Z</dcterms:created>
  <dcterms:modified xsi:type="dcterms:W3CDTF">2025-09-11T06:47:11Z</dcterms:modified>
</cp:coreProperties>
</file>