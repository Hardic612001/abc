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27795" windowHeight="13110"/>
  </bookViews>
  <sheets>
    <sheet name="Sheet1" sheetId="12" r:id="rId1"/>
    <sheet name="Sheet8" sheetId="11" r:id="rId2"/>
    <sheet name="Sheet6" sheetId="9" r:id="rId3"/>
    <sheet name="Sheet7" sheetId="10" r:id="rId4"/>
  </sheets>
  <definedNames>
    <definedName name="Slicer_city">#N/A</definedName>
    <definedName name="Slicer_Item">#N/A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21" i="9" l="1"/>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A33" i="11"/>
</calcChain>
</file>

<file path=xl/sharedStrings.xml><?xml version="1.0" encoding="utf-8"?>
<sst xmlns="http://schemas.openxmlformats.org/spreadsheetml/2006/main" count="994" uniqueCount="39">
  <si>
    <t>Date</t>
  </si>
  <si>
    <t>Item</t>
  </si>
  <si>
    <t>Qty</t>
  </si>
  <si>
    <t>SHIVAM VERMA</t>
  </si>
  <si>
    <t>NAVEEN MISHRA</t>
  </si>
  <si>
    <t>MANOJ SHRIVASTAWA</t>
  </si>
  <si>
    <t>RAM PARVESH</t>
  </si>
  <si>
    <t>NITESH CHAUDHARY</t>
  </si>
  <si>
    <t>ADITYA KUMAR</t>
  </si>
  <si>
    <t>RAVI MAURYA</t>
  </si>
  <si>
    <t>RAJU  GUPTA</t>
  </si>
  <si>
    <t>MANNA DEY</t>
  </si>
  <si>
    <t>RAHUL PANDAY</t>
  </si>
  <si>
    <t>ARVIND KUMAR</t>
  </si>
  <si>
    <t>HARESH RAM</t>
  </si>
  <si>
    <t>Mouse</t>
  </si>
  <si>
    <t>Keyboard</t>
  </si>
  <si>
    <t>SSD</t>
  </si>
  <si>
    <t>RAM</t>
  </si>
  <si>
    <t>Mic</t>
  </si>
  <si>
    <t>M/B</t>
  </si>
  <si>
    <t>Printer</t>
  </si>
  <si>
    <t>Joystick</t>
  </si>
  <si>
    <t>Row Labels</t>
  </si>
  <si>
    <t>Grand Total</t>
  </si>
  <si>
    <t>january</t>
  </si>
  <si>
    <t>S.No.</t>
  </si>
  <si>
    <t>Name</t>
  </si>
  <si>
    <t>Rrate</t>
  </si>
  <si>
    <t>Amt</t>
  </si>
  <si>
    <t>march</t>
  </si>
  <si>
    <t>april</t>
  </si>
  <si>
    <t>februry</t>
  </si>
  <si>
    <t>Sum of Amt</t>
  </si>
  <si>
    <t>city</t>
  </si>
  <si>
    <t>varansi</t>
  </si>
  <si>
    <t>ballia</t>
  </si>
  <si>
    <t>prayagraj</t>
  </si>
  <si>
    <t>Sum of Qty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</si>
</sst>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INR]\ #,##0.00"/>
    <numFmt numFmtId="165" formatCode="[$INR]\ #,##0"/>
  </numFmts>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xf numFmtId="0" fontId="1" fillId="0" borderId="0" xfId="0" applyFon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[Work.xlsx]Sheet8!PivotTable4</c:name>
    <c:fmtId val="2"/>
  </c:pivotSource>
  <c:chart>
    <c:title>
      <c:tx>
        <c:rich>
          <a:bodyPr/>
          <a:lstStyle/>
          <a:p>
            <a:pPr algn="ctr" rtl="0">
              <a:defRPr lang="en-IN" sz="1800" b="1" i="0" u="none" strike="noStrike" kern="1200" baseline="0">
                <a:solidFill>
                  <a:srgbClr val="FF0000"/>
                </a:solidFill>
                <a:latin typeface="+mn-lt"/>
                <a:ea typeface="+mn-ea"/>
                <a:cs typeface="+mn-cs"/>
              </a:defRPr>
            </a:pPr>
            <a:r>
              <a:rPr lang="en-IN" sz="1800" b="1" i="0" u="none" strike="noStrike" kern="1200" baseline="0">
                <a:solidFill>
                  <a:srgbClr val="FF0000"/>
                </a:solidFill>
                <a:latin typeface="+mn-lt"/>
                <a:ea typeface="+mn-ea"/>
                <a:cs typeface="+mn-cs"/>
              </a:rPr>
              <a:t>Month Wise Sale</a:t>
            </a:r>
          </a:p>
        </c:rich>
      </c:tx>
      <c:layout/>
      <c:overlay val="0"/>
      <c:spPr>
        <a:solidFill>
          <a:srgbClr val="FFFF00"/>
        </a:solidFill>
      </c:spPr>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Sheet8!$B$3</c:f>
              <c:strCache>
                <c:ptCount val="1"/>
                <c:pt idx="0">
                  <c:v>Total</c:v>
                </c:pt>
              </c:strCache>
            </c:strRef>
          </c:tx>
          <c:marker>
            <c:symbol val="none"/>
          </c:marker>
          <c:cat>
            <c:strRef>
              <c:f>Sheet8!$A$4:$A$8</c:f>
              <c:strCache>
                <c:ptCount val="4"/>
                <c:pt idx="0">
                  <c:v>january</c:v>
                </c:pt>
                <c:pt idx="1">
                  <c:v>march</c:v>
                </c:pt>
                <c:pt idx="2">
                  <c:v>april</c:v>
                </c:pt>
                <c:pt idx="3">
                  <c:v>februry</c:v>
                </c:pt>
              </c:strCache>
            </c:strRef>
          </c:cat>
          <c:val>
            <c:numRef>
              <c:f>Sheet8!$B$4:$B$8</c:f>
              <c:numCache>
                <c:formatCode>General</c:formatCode>
                <c:ptCount val="4"/>
                <c:pt idx="0">
                  <c:v>17250</c:v>
                </c:pt>
                <c:pt idx="1">
                  <c:v>51750</c:v>
                </c:pt>
                <c:pt idx="2">
                  <c:v>43650</c:v>
                </c:pt>
                <c:pt idx="3">
                  <c:v>23250</c:v>
                </c:pt>
              </c:numCache>
            </c:numRef>
          </c:val>
          <c:smooth val="0"/>
        </c:ser>
        <c:dLbls>
          <c:showLegendKey val="0"/>
          <c:showVal val="0"/>
          <c:showCatName val="0"/>
          <c:showSerName val="0"/>
          <c:showPercent val="0"/>
          <c:showBubbleSize val="0"/>
        </c:dLbls>
        <c:marker val="1"/>
        <c:smooth val="0"/>
        <c:axId val="238342144"/>
        <c:axId val="238343680"/>
      </c:lineChart>
      <c:catAx>
        <c:axId val="238342144"/>
        <c:scaling>
          <c:orientation val="minMax"/>
        </c:scaling>
        <c:delete val="0"/>
        <c:axPos val="b"/>
        <c:majorTickMark val="none"/>
        <c:minorTickMark val="none"/>
        <c:tickLblPos val="nextTo"/>
        <c:crossAx val="238343680"/>
        <c:crosses val="autoZero"/>
        <c:auto val="1"/>
        <c:lblAlgn val="ctr"/>
        <c:lblOffset val="100"/>
        <c:noMultiLvlLbl val="0"/>
      </c:catAx>
      <c:valAx>
        <c:axId val="238343680"/>
        <c:scaling>
          <c:orientation val="minMax"/>
        </c:scaling>
        <c:delete val="0"/>
        <c:axPos val="l"/>
        <c:majorGridlines/>
        <c:numFmt formatCode="General" sourceLinked="1"/>
        <c:majorTickMark val="none"/>
        <c:minorTickMark val="none"/>
        <c:tickLblPos val="nextTo"/>
        <c:spPr>
          <a:ln w="9525">
            <a:noFill/>
          </a:ln>
        </c:spPr>
        <c:crossAx val="2383421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[Work.xlsx]Sheet8!PivotTable1</c:name>
    <c:fmtId val="6"/>
  </c:pivotSource>
  <c:chart>
    <c:title>
      <c:tx>
        <c:rich>
          <a:bodyPr/>
          <a:lstStyle/>
          <a:p>
            <a:pPr>
              <a:defRPr>
                <a:solidFill>
                  <a:srgbClr val="FF0000"/>
                </a:solidFill>
              </a:defRPr>
            </a:pPr>
            <a:r>
              <a:rPr lang="en-US">
                <a:solidFill>
                  <a:srgbClr val="FF0000"/>
                </a:solidFill>
              </a:rPr>
              <a:t>City</a:t>
            </a:r>
            <a:r>
              <a:rPr lang="en-US" baseline="0">
                <a:solidFill>
                  <a:srgbClr val="FF0000"/>
                </a:solidFill>
              </a:rPr>
              <a:t> Wise Sale</a:t>
            </a:r>
            <a:endParaRPr lang="en-US">
              <a:solidFill>
                <a:srgbClr val="FF0000"/>
              </a:solidFill>
            </a:endParaRPr>
          </a:p>
        </c:rich>
      </c:tx>
      <c:layout>
        <c:manualLayout>
          <c:xMode val="edge"/>
          <c:yMode val="edge"/>
          <c:x val="0.35458333333333331"/>
          <c:y val="2.0565547148810894E-2"/>
        </c:manualLayout>
      </c:layout>
      <c:overlay val="0"/>
      <c:spPr>
        <a:solidFill>
          <a:srgbClr val="FFFF00"/>
        </a:solidFill>
      </c:spPr>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dLbl>
          <c:idx val="0"/>
          <c:layout>
            <c:manualLayout>
              <c:x val="8.3333333333333072E-3"/>
              <c:y val="-0.29134525127482103"/>
            </c:manualLayout>
          </c:layout>
          <c:showLegendKey val="0"/>
          <c:showVal val="1"/>
          <c:showCatName val="0"/>
          <c:showSerName val="0"/>
          <c:showPercent val="0"/>
          <c:showBubbleSize val="0"/>
        </c:dLbl>
      </c:pivotFmt>
      <c:pivotFmt>
        <c:idx val="4"/>
        <c:dLbl>
          <c:idx val="0"/>
          <c:layout>
            <c:manualLayout>
              <c:x val="5.5555555555555558E-3"/>
              <c:y val="-0.25021415697719923"/>
            </c:manualLayout>
          </c:layout>
          <c:showLegendKey val="0"/>
          <c:showVal val="1"/>
          <c:showCatName val="0"/>
          <c:showSerName val="0"/>
          <c:showPercent val="0"/>
          <c:showBubbleSize val="0"/>
        </c:dLbl>
      </c:pivotFmt>
      <c:pivotFmt>
        <c:idx val="5"/>
        <c:dLbl>
          <c:idx val="0"/>
          <c:layout>
            <c:manualLayout>
              <c:x val="1.0185067526415994E-16"/>
              <c:y val="-0.34618671033831677"/>
            </c:manualLayout>
          </c:layout>
          <c:showLegendKey val="0"/>
          <c:showVal val="1"/>
          <c:showCatName val="0"/>
          <c:showSerName val="0"/>
          <c:showPercent val="0"/>
          <c:showBubbleSize val="0"/>
        </c:dLbl>
      </c:pivotFmt>
    </c:pivotFmts>
    <c:plotArea>
      <c:layout/>
      <c:barChart>
        <c:barDir val="col"/>
        <c:grouping val="stacked"/>
        <c:varyColors val="0"/>
        <c:ser>
          <c:idx val="0"/>
          <c:order val="0"/>
          <c:tx>
            <c:strRef>
              <c:f>Sheet8!$B$11</c:f>
              <c:strCache>
                <c:ptCount val="1"/>
                <c:pt idx="0">
                  <c:v>Total</c:v>
                </c:pt>
              </c:strCache>
            </c:strRef>
          </c:tx>
          <c:invertIfNegative val="0"/>
          <c:dLbls>
            <c:dLbl>
              <c:idx val="0"/>
              <c:layout>
                <c:manualLayout>
                  <c:x val="8.3333333333333072E-3"/>
                  <c:y val="-0.29134525127482103"/>
                </c:manualLayout>
              </c:layout>
              <c:showLegendKey val="0"/>
              <c:showVal val="1"/>
              <c:showCatName val="0"/>
              <c:showSerName val="0"/>
              <c:showPercent val="0"/>
              <c:showBubbleSize val="0"/>
            </c:dLbl>
            <c:dLbl>
              <c:idx val="1"/>
              <c:layout>
                <c:manualLayout>
                  <c:x val="5.5555555555555558E-3"/>
                  <c:y val="-0.25021415697719923"/>
                </c:manualLayout>
              </c:layout>
              <c:showLegendKey val="0"/>
              <c:showVal val="1"/>
              <c:showCatName val="0"/>
              <c:showSerName val="0"/>
              <c:showPercent val="0"/>
              <c:showBubbleSize val="0"/>
            </c:dLbl>
            <c:dLbl>
              <c:idx val="2"/>
              <c:layout>
                <c:manualLayout>
                  <c:x val="1.0185067526415994E-16"/>
                  <c:y val="-0.34618671033831677"/>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Sheet8!$A$12:$A$15</c:f>
              <c:strCache>
                <c:ptCount val="3"/>
                <c:pt idx="0">
                  <c:v>ballia</c:v>
                </c:pt>
                <c:pt idx="1">
                  <c:v>prayagraj</c:v>
                </c:pt>
                <c:pt idx="2">
                  <c:v>varansi</c:v>
                </c:pt>
              </c:strCache>
            </c:strRef>
          </c:cat>
          <c:val>
            <c:numRef>
              <c:f>Sheet8!$B$12:$B$15</c:f>
              <c:numCache>
                <c:formatCode>General</c:formatCode>
                <c:ptCount val="3"/>
                <c:pt idx="0">
                  <c:v>47400</c:v>
                </c:pt>
                <c:pt idx="1">
                  <c:v>48000</c:v>
                </c:pt>
                <c:pt idx="2">
                  <c:v>40500</c:v>
                </c:pt>
              </c:numCache>
            </c:numRef>
          </c:val>
        </c:ser>
        <c:dLbls>
          <c:showLegendKey val="0"/>
          <c:showVal val="0"/>
          <c:showCatName val="0"/>
          <c:showSerName val="0"/>
          <c:showPercent val="0"/>
          <c:showBubbleSize val="0"/>
        </c:dLbls>
        <c:gapWidth val="150"/>
        <c:overlap val="100"/>
        <c:axId val="239298432"/>
        <c:axId val="239299968"/>
      </c:barChart>
      <c:catAx>
        <c:axId val="239298432"/>
        <c:scaling>
          <c:orientation val="minMax"/>
        </c:scaling>
        <c:delete val="0"/>
        <c:axPos val="b"/>
        <c:majorTickMark val="out"/>
        <c:minorTickMark val="none"/>
        <c:tickLblPos val="nextTo"/>
        <c:crossAx val="239299968"/>
        <c:crosses val="autoZero"/>
        <c:auto val="1"/>
        <c:lblAlgn val="ctr"/>
        <c:lblOffset val="100"/>
        <c:noMultiLvlLbl val="0"/>
      </c:catAx>
      <c:valAx>
        <c:axId val="239299968"/>
        <c:scaling>
          <c:orientation val="minMax"/>
        </c:scaling>
        <c:delete val="0"/>
        <c:axPos val="l"/>
        <c:majorGridlines/>
        <c:numFmt formatCode="General" sourceLinked="1"/>
        <c:majorTickMark val="out"/>
        <c:minorTickMark val="none"/>
        <c:tickLblPos val="nextTo"/>
        <c:crossAx val="239298432"/>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[Work.xlsx]Sheet8!PivotTable2</c:name>
    <c:fmtId val="9"/>
  </c:pivotSource>
  <c:chart>
    <c:title>
      <c:tx>
        <c:rich>
          <a:bodyPr/>
          <a:lstStyle/>
          <a:p>
            <a:pPr algn="ctr" rtl="0">
              <a:defRPr/>
            </a:pPr>
            <a:r>
              <a:rPr lang="en-IN"/>
              <a:t>Qty of Sale Item</a:t>
            </a:r>
          </a:p>
        </c:rich>
      </c:tx>
      <c:layout>
        <c:manualLayout>
          <c:xMode val="edge"/>
          <c:yMode val="edge"/>
          <c:x val="0.2332014435695538"/>
          <c:y val="4.9905220180810735E-2"/>
        </c:manualLayout>
      </c:layout>
      <c:overlay val="0"/>
      <c:spPr>
        <a:solidFill>
          <a:srgbClr val="FFFF00"/>
        </a:solidFill>
      </c:spPr>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pieChart>
        <c:varyColors val="1"/>
        <c:ser>
          <c:idx val="0"/>
          <c:order val="0"/>
          <c:tx>
            <c:strRef>
              <c:f>Sheet8!$B$19</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Sheet8!$A$20:$A$21</c:f>
              <c:strCache>
                <c:ptCount val="1"/>
                <c:pt idx="0">
                  <c:v>Mouse</c:v>
                </c:pt>
              </c:strCache>
            </c:strRef>
          </c:cat>
          <c:val>
            <c:numRef>
              <c:f>Sheet8!$B$20:$B$21</c:f>
              <c:numCache>
                <c:formatCode>General</c:formatCode>
                <c:ptCount val="1"/>
                <c:pt idx="0">
                  <c:v>906</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txPr>
    <a:bodyPr/>
    <a:lstStyle/>
    <a:p>
      <a:pPr algn="ctr" rtl="0">
        <a:defRPr lang="en-IN" sz="1800" b="1" i="0" u="none" strike="noStrike" kern="1200" baseline="0">
          <a:solidFill>
            <a:srgbClr val="FF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66675</xdr:colOff>
      <xdr:row>1</xdr:row>
      <xdr:rowOff>161925</xdr:rowOff>
    </xdr:from>
    <xdr:to>
      <xdr:col>26</xdr:col>
      <xdr:colOff>390525</xdr:colOff>
      <xdr:row>39</xdr:row>
      <xdr:rowOff>123825</xdr:rowOff>
    </xdr:to>
    <xdr:sp macro="" textlink="">
      <xdr:nvSpPr>
        <xdr:cNvPr id="2" name="Rounded Rectangle 1"/>
        <xdr:cNvSpPr/>
      </xdr:nvSpPr>
      <xdr:spPr>
        <a:xfrm>
          <a:off x="66675" y="352425"/>
          <a:ext cx="16173450" cy="7200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466725</xdr:colOff>
      <xdr:row>9</xdr:row>
      <xdr:rowOff>76200</xdr:rowOff>
    </xdr:from>
    <xdr:to>
      <xdr:col>22</xdr:col>
      <xdr:colOff>466725</xdr:colOff>
      <xdr:row>16</xdr:row>
      <xdr:rowOff>171450</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049125" y="1790700"/>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28575</xdr:colOff>
      <xdr:row>3</xdr:row>
      <xdr:rowOff>95251</xdr:rowOff>
    </xdr:from>
    <xdr:to>
      <xdr:col>25</xdr:col>
      <xdr:colOff>581025</xdr:colOff>
      <xdr:row>16</xdr:row>
      <xdr:rowOff>171450</xdr:rowOff>
    </xdr:to>
    <mc:AlternateContent xmlns:mc="http://schemas.openxmlformats.org/markup-compatibility/2006" xmlns:a14="http://schemas.microsoft.com/office/drawing/2010/main">
      <mc:Choice Requires="a14">
        <xdr:graphicFrame macro="">
          <xdr:nvGraphicFramePr>
            <xdr:cNvPr id="4"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4049375" y="666751"/>
              <a:ext cx="1771650" cy="25526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600075</xdr:colOff>
      <xdr:row>17</xdr:row>
      <xdr:rowOff>104774</xdr:rowOff>
    </xdr:from>
    <xdr:to>
      <xdr:col>25</xdr:col>
      <xdr:colOff>600075</xdr:colOff>
      <xdr:row>36</xdr:row>
      <xdr:rowOff>190499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590550</xdr:colOff>
      <xdr:row>17</xdr:row>
      <xdr:rowOff>104774</xdr:rowOff>
    </xdr:from>
    <xdr:to>
      <xdr:col>8</xdr:col>
      <xdr:colOff>285750</xdr:colOff>
      <xdr:row>37</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466724</xdr:colOff>
      <xdr:row>17</xdr:row>
      <xdr:rowOff>114300</xdr:rowOff>
    </xdr:from>
    <xdr:to>
      <xdr:col>16</xdr:col>
      <xdr:colOff>419099</xdr:colOff>
      <xdr:row>37</xdr:row>
      <xdr:rowOff>19050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552450</xdr:colOff>
      <xdr:row>10</xdr:row>
      <xdr:rowOff>85725</xdr:rowOff>
    </xdr:from>
    <xdr:to>
      <xdr:col>8</xdr:col>
      <xdr:colOff>400049</xdr:colOff>
      <xdr:row>17</xdr:row>
      <xdr:rowOff>47626</xdr:rowOff>
    </xdr:to>
    <xdr:sp macro="" textlink="">
      <xdr:nvSpPr>
        <xdr:cNvPr id="6" name="Rectangle 5"/>
        <xdr:cNvSpPr/>
      </xdr:nvSpPr>
      <xdr:spPr>
        <a:xfrm>
          <a:off x="552450" y="1990725"/>
          <a:ext cx="4724399" cy="12954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 </a:t>
          </a:r>
          <a:r>
            <a:rPr lang="en-IN" sz="2400" b="1" baseline="0"/>
            <a:t> SALE AMOUNT</a:t>
          </a:r>
        </a:p>
      </xdr:txBody>
    </xdr:sp>
    <xdr:clientData/>
  </xdr:twoCellAnchor>
  <xdr:twoCellAnchor>
    <xdr:from>
      <xdr:col>1</xdr:col>
      <xdr:colOff>219075</xdr:colOff>
      <xdr:row>12</xdr:row>
      <xdr:rowOff>85725</xdr:rowOff>
    </xdr:from>
    <xdr:to>
      <xdr:col>8</xdr:col>
      <xdr:colOff>9525</xdr:colOff>
      <xdr:row>16</xdr:row>
      <xdr:rowOff>0</xdr:rowOff>
    </xdr:to>
    <xdr:sp macro="" textlink="Sheet8!A33">
      <xdr:nvSpPr>
        <xdr:cNvPr id="9" name="Rounded Rectangle 8"/>
        <xdr:cNvSpPr/>
      </xdr:nvSpPr>
      <xdr:spPr>
        <a:xfrm>
          <a:off x="828675" y="2371725"/>
          <a:ext cx="4057650" cy="676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CB0BE53-CB71-41C8-ADEA-90D63690396D}" type="TxLink">
            <a:rPr lang="en-IN" sz="3600" b="1">
              <a:solidFill>
                <a:srgbClr val="002060"/>
              </a:solidFill>
            </a:rPr>
            <a:pPr algn="ctr"/>
            <a:t>INR 1,35,900</a:t>
          </a:fld>
          <a:endParaRPr lang="en-IN" sz="3600" b="1">
            <a:solidFill>
              <a:srgbClr val="002060"/>
            </a:solidFill>
          </a:endParaRPr>
        </a:p>
      </xdr:txBody>
    </xdr:sp>
    <xdr:clientData/>
  </xdr:twoCellAnchor>
  <xdr:twoCellAnchor>
    <xdr:from>
      <xdr:col>9</xdr:col>
      <xdr:colOff>609599</xdr:colOff>
      <xdr:row>10</xdr:row>
      <xdr:rowOff>38100</xdr:rowOff>
    </xdr:from>
    <xdr:to>
      <xdr:col>18</xdr:col>
      <xdr:colOff>333374</xdr:colOff>
      <xdr:row>16</xdr:row>
      <xdr:rowOff>66675</xdr:rowOff>
    </xdr:to>
    <xdr:sp macro="" textlink="">
      <xdr:nvSpPr>
        <xdr:cNvPr id="10" name="Oval 9"/>
        <xdr:cNvSpPr/>
      </xdr:nvSpPr>
      <xdr:spPr>
        <a:xfrm>
          <a:off x="6095999" y="1943100"/>
          <a:ext cx="5210175" cy="11715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REPORT BY HARDIC SINGH</a:t>
          </a:r>
        </a:p>
      </xdr:txBody>
    </xdr:sp>
    <xdr:clientData/>
  </xdr:twoCellAnchor>
  <xdr:twoCellAnchor>
    <xdr:from>
      <xdr:col>3</xdr:col>
      <xdr:colOff>76201</xdr:colOff>
      <xdr:row>2</xdr:row>
      <xdr:rowOff>38100</xdr:rowOff>
    </xdr:from>
    <xdr:to>
      <xdr:col>21</xdr:col>
      <xdr:colOff>495301</xdr:colOff>
      <xdr:row>8</xdr:row>
      <xdr:rowOff>66675</xdr:rowOff>
    </xdr:to>
    <xdr:sp macro="" textlink="">
      <xdr:nvSpPr>
        <xdr:cNvPr id="11" name="Rectangle 10"/>
        <xdr:cNvSpPr/>
      </xdr:nvSpPr>
      <xdr:spPr>
        <a:xfrm>
          <a:off x="1905001" y="419100"/>
          <a:ext cx="11391900" cy="1171575"/>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rgbClr val="002060"/>
              </a:solidFill>
            </a:rPr>
            <a:t>CHARTS</a:t>
          </a:r>
          <a:r>
            <a:rPr lang="en-IN" sz="4400" b="1" baseline="0">
              <a:solidFill>
                <a:srgbClr val="002060"/>
              </a:solidFill>
            </a:rPr>
            <a:t> FOR THE SALE  TO CUSTOMERS</a:t>
          </a:r>
          <a:endParaRPr lang="en-IN" sz="44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rdic Singh" refreshedDate="45903.296034606479" createdVersion="4" refreshedVersion="4" minRefreshableVersion="3" recordCount="120">
  <cacheSource type="worksheet">
    <worksheetSource ref="A1:H121" sheet="Sheet6"/>
  </cacheSource>
  <cacheFields count="8">
    <cacheField name="S.No." numFmtId="0">
      <sharedItems containsSemiMixedTypes="0" containsString="0" containsNumber="1" containsInteger="1" minValue="1" maxValue="120"/>
    </cacheField>
    <cacheField name="Name" numFmtId="0">
      <sharedItems/>
    </cacheField>
    <cacheField name="city" numFmtId="0">
      <sharedItems count="3">
        <s v="varansi"/>
        <s v="ballia"/>
        <s v="prayagraj"/>
      </sharedItems>
    </cacheField>
    <cacheField name="Date" numFmtId="14">
      <sharedItems count="4">
        <s v="january"/>
        <s v="februry"/>
        <s v="march"/>
        <s v="april"/>
      </sharedItems>
    </cacheField>
    <cacheField name="Item" numFmtId="0">
      <sharedItems count="8">
        <s v="Mouse"/>
        <s v="Keyboard"/>
        <s v="RAM"/>
        <s v="SSD"/>
        <s v="Mic"/>
        <s v="M/B"/>
        <s v="Printer"/>
        <s v="Joystick"/>
      </sharedItems>
    </cacheField>
    <cacheField name="Qty" numFmtId="0">
      <sharedItems containsSemiMixedTypes="0" containsString="0" containsNumber="1" containsInteger="1" minValue="6" maxValue="125"/>
    </cacheField>
    <cacheField name="Rrate" numFmtId="0">
      <sharedItems containsSemiMixedTypes="0" containsString="0" containsNumber="1" containsInteger="1" minValue="50" maxValue="450"/>
    </cacheField>
    <cacheField name="Amt" numFmtId="0">
      <sharedItems containsSemiMixedTypes="0" containsString="0" containsNumber="1" containsInteger="1" minValue="600" maxValue="4375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n v="1"/>
    <s v="SHIVAM VERMA"/>
    <x v="0"/>
    <x v="0"/>
    <x v="0"/>
    <n v="15"/>
    <n v="150"/>
    <n v="2250"/>
  </r>
  <r>
    <n v="2"/>
    <s v="SHIVAM VERMA"/>
    <x v="0"/>
    <x v="0"/>
    <x v="1"/>
    <n v="56"/>
    <n v="350"/>
    <n v="19600"/>
  </r>
  <r>
    <n v="3"/>
    <s v="SHIVAM VERMA"/>
    <x v="0"/>
    <x v="0"/>
    <x v="2"/>
    <n v="58"/>
    <n v="50"/>
    <n v="2900"/>
  </r>
  <r>
    <n v="4"/>
    <s v="SHIVAM VERMA"/>
    <x v="0"/>
    <x v="0"/>
    <x v="3"/>
    <n v="96"/>
    <n v="112"/>
    <n v="10752"/>
  </r>
  <r>
    <n v="5"/>
    <s v="NAVEEN MISHRA"/>
    <x v="0"/>
    <x v="0"/>
    <x v="4"/>
    <n v="76"/>
    <n v="108"/>
    <n v="8208"/>
  </r>
  <r>
    <n v="6"/>
    <s v="NAVEEN MISHRA"/>
    <x v="0"/>
    <x v="0"/>
    <x v="5"/>
    <n v="23"/>
    <n v="125"/>
    <n v="2875"/>
  </r>
  <r>
    <n v="7"/>
    <s v="NAVEEN MISHRA"/>
    <x v="0"/>
    <x v="0"/>
    <x v="0"/>
    <n v="35"/>
    <n v="150"/>
    <n v="5250"/>
  </r>
  <r>
    <n v="8"/>
    <s v="SHIVAM VERMA"/>
    <x v="0"/>
    <x v="0"/>
    <x v="0"/>
    <n v="65"/>
    <n v="150"/>
    <n v="9750"/>
  </r>
  <r>
    <n v="9"/>
    <s v="MANOJ SHRIVASTAWA"/>
    <x v="0"/>
    <x v="0"/>
    <x v="1"/>
    <n v="14"/>
    <n v="350"/>
    <n v="4900"/>
  </r>
  <r>
    <n v="10"/>
    <s v="MANOJ SHRIVASTAWA"/>
    <x v="1"/>
    <x v="0"/>
    <x v="1"/>
    <n v="125"/>
    <n v="350"/>
    <n v="43750"/>
  </r>
  <r>
    <n v="11"/>
    <s v="MANOJ SHRIVASTAWA"/>
    <x v="1"/>
    <x v="0"/>
    <x v="3"/>
    <n v="36"/>
    <n v="112"/>
    <n v="4032"/>
  </r>
  <r>
    <n v="12"/>
    <s v="MANOJ SHRIVASTAWA"/>
    <x v="1"/>
    <x v="0"/>
    <x v="2"/>
    <n v="35"/>
    <n v="50"/>
    <n v="1750"/>
  </r>
  <r>
    <n v="13"/>
    <s v="MANOJ SHRIVASTAWA"/>
    <x v="1"/>
    <x v="0"/>
    <x v="3"/>
    <n v="25"/>
    <n v="112"/>
    <n v="2800"/>
  </r>
  <r>
    <n v="14"/>
    <s v="MANOJ SHRIVASTAWA"/>
    <x v="1"/>
    <x v="0"/>
    <x v="2"/>
    <n v="15"/>
    <n v="50"/>
    <n v="750"/>
  </r>
  <r>
    <n v="15"/>
    <s v="MANOJ SHRIVASTAWA"/>
    <x v="1"/>
    <x v="0"/>
    <x v="2"/>
    <n v="78"/>
    <n v="50"/>
    <n v="3900"/>
  </r>
  <r>
    <n v="16"/>
    <s v="MANOJ SHRIVASTAWA"/>
    <x v="1"/>
    <x v="1"/>
    <x v="3"/>
    <n v="87"/>
    <n v="112"/>
    <n v="9744"/>
  </r>
  <r>
    <n v="17"/>
    <s v="MANOJ SHRIVASTAWA"/>
    <x v="1"/>
    <x v="1"/>
    <x v="4"/>
    <n v="45"/>
    <n v="108"/>
    <n v="4860"/>
  </r>
  <r>
    <n v="18"/>
    <s v="SHIVAM VERMA"/>
    <x v="1"/>
    <x v="1"/>
    <x v="4"/>
    <n v="41"/>
    <n v="108"/>
    <n v="4428"/>
  </r>
  <r>
    <n v="19"/>
    <s v="SHIVAM VERMA"/>
    <x v="1"/>
    <x v="1"/>
    <x v="6"/>
    <n v="25"/>
    <n v="450"/>
    <n v="11250"/>
  </r>
  <r>
    <n v="20"/>
    <s v="SHIVAM VERMA"/>
    <x v="1"/>
    <x v="1"/>
    <x v="6"/>
    <n v="36"/>
    <n v="450"/>
    <n v="16200"/>
  </r>
  <r>
    <n v="21"/>
    <s v="SHIVAM VERMA"/>
    <x v="0"/>
    <x v="1"/>
    <x v="7"/>
    <n v="95"/>
    <n v="180"/>
    <n v="17100"/>
  </r>
  <r>
    <n v="22"/>
    <s v="SHIVAM VERMA"/>
    <x v="0"/>
    <x v="1"/>
    <x v="0"/>
    <n v="112"/>
    <n v="150"/>
    <n v="16800"/>
  </r>
  <r>
    <n v="23"/>
    <s v="RAM PARVESH"/>
    <x v="0"/>
    <x v="1"/>
    <x v="0"/>
    <n v="43"/>
    <n v="150"/>
    <n v="6450"/>
  </r>
  <r>
    <n v="24"/>
    <s v="RAM PARVESH"/>
    <x v="0"/>
    <x v="1"/>
    <x v="1"/>
    <n v="78"/>
    <n v="350"/>
    <n v="27300"/>
  </r>
  <r>
    <n v="25"/>
    <s v="RAM PARVESH"/>
    <x v="0"/>
    <x v="1"/>
    <x v="7"/>
    <n v="25"/>
    <n v="180"/>
    <n v="4500"/>
  </r>
  <r>
    <n v="26"/>
    <s v="RAM PARVESH"/>
    <x v="0"/>
    <x v="1"/>
    <x v="2"/>
    <n v="63"/>
    <n v="50"/>
    <n v="3150"/>
  </r>
  <r>
    <n v="27"/>
    <s v="RAM PARVESH"/>
    <x v="0"/>
    <x v="1"/>
    <x v="3"/>
    <n v="39"/>
    <n v="112"/>
    <n v="4368"/>
  </r>
  <r>
    <n v="28"/>
    <s v="RAM PARVESH"/>
    <x v="0"/>
    <x v="1"/>
    <x v="5"/>
    <n v="98"/>
    <n v="125"/>
    <n v="12250"/>
  </r>
  <r>
    <n v="29"/>
    <s v="RAM PARVESH"/>
    <x v="0"/>
    <x v="1"/>
    <x v="7"/>
    <n v="125"/>
    <n v="180"/>
    <n v="22500"/>
  </r>
  <r>
    <n v="30"/>
    <s v="RAM PARVESH"/>
    <x v="0"/>
    <x v="1"/>
    <x v="7"/>
    <n v="45"/>
    <n v="180"/>
    <n v="8100"/>
  </r>
  <r>
    <n v="31"/>
    <s v="NAVEEN MISHRA"/>
    <x v="0"/>
    <x v="1"/>
    <x v="7"/>
    <n v="73"/>
    <n v="180"/>
    <n v="13140"/>
  </r>
  <r>
    <n v="32"/>
    <s v="NAVEEN MISHRA"/>
    <x v="0"/>
    <x v="1"/>
    <x v="3"/>
    <n v="71"/>
    <n v="112"/>
    <n v="7952"/>
  </r>
  <r>
    <n v="33"/>
    <s v="NAVEEN MISHRA"/>
    <x v="0"/>
    <x v="1"/>
    <x v="1"/>
    <n v="23"/>
    <n v="350"/>
    <n v="8050"/>
  </r>
  <r>
    <n v="34"/>
    <s v="NAVEEN MISHRA"/>
    <x v="0"/>
    <x v="1"/>
    <x v="1"/>
    <n v="12"/>
    <n v="350"/>
    <n v="4200"/>
  </r>
  <r>
    <n v="35"/>
    <s v="NAVEEN MISHRA"/>
    <x v="0"/>
    <x v="1"/>
    <x v="2"/>
    <n v="25"/>
    <n v="50"/>
    <n v="1250"/>
  </r>
  <r>
    <n v="36"/>
    <s v="NAVEEN MISHRA"/>
    <x v="0"/>
    <x v="2"/>
    <x v="2"/>
    <n v="125"/>
    <n v="50"/>
    <n v="6250"/>
  </r>
  <r>
    <n v="37"/>
    <s v="NAVEEN MISHRA"/>
    <x v="0"/>
    <x v="2"/>
    <x v="2"/>
    <n v="45"/>
    <n v="50"/>
    <n v="2250"/>
  </r>
  <r>
    <n v="38"/>
    <s v="NAVEEN MISHRA"/>
    <x v="0"/>
    <x v="2"/>
    <x v="2"/>
    <n v="63"/>
    <n v="50"/>
    <n v="3150"/>
  </r>
  <r>
    <n v="39"/>
    <s v="NAVEEN MISHRA"/>
    <x v="0"/>
    <x v="2"/>
    <x v="3"/>
    <n v="65"/>
    <n v="112"/>
    <n v="7280"/>
  </r>
  <r>
    <n v="40"/>
    <s v="NAVEEN MISHRA"/>
    <x v="0"/>
    <x v="2"/>
    <x v="3"/>
    <n v="12"/>
    <n v="112"/>
    <n v="1344"/>
  </r>
  <r>
    <n v="41"/>
    <s v="NITESH CHAUDHARY"/>
    <x v="0"/>
    <x v="2"/>
    <x v="3"/>
    <n v="84"/>
    <n v="112"/>
    <n v="9408"/>
  </r>
  <r>
    <n v="42"/>
    <s v="NITESH CHAUDHARY"/>
    <x v="2"/>
    <x v="2"/>
    <x v="3"/>
    <n v="85"/>
    <n v="112"/>
    <n v="9520"/>
  </r>
  <r>
    <n v="43"/>
    <s v="NITESH CHAUDHARY"/>
    <x v="2"/>
    <x v="2"/>
    <x v="3"/>
    <n v="96"/>
    <n v="112"/>
    <n v="10752"/>
  </r>
  <r>
    <n v="44"/>
    <s v="NITESH CHAUDHARY"/>
    <x v="2"/>
    <x v="2"/>
    <x v="3"/>
    <n v="63"/>
    <n v="112"/>
    <n v="7056"/>
  </r>
  <r>
    <n v="45"/>
    <s v="NITESH CHAUDHARY"/>
    <x v="2"/>
    <x v="2"/>
    <x v="0"/>
    <n v="41"/>
    <n v="150"/>
    <n v="6150"/>
  </r>
  <r>
    <n v="46"/>
    <s v="NITESH CHAUDHARY"/>
    <x v="2"/>
    <x v="2"/>
    <x v="0"/>
    <n v="25"/>
    <n v="150"/>
    <n v="3750"/>
  </r>
  <r>
    <n v="47"/>
    <s v="NITESH CHAUDHARY"/>
    <x v="2"/>
    <x v="2"/>
    <x v="0"/>
    <n v="63"/>
    <n v="150"/>
    <n v="9450"/>
  </r>
  <r>
    <n v="48"/>
    <s v="NITESH CHAUDHARY"/>
    <x v="2"/>
    <x v="2"/>
    <x v="1"/>
    <n v="23"/>
    <n v="350"/>
    <n v="8050"/>
  </r>
  <r>
    <n v="49"/>
    <s v="ADITYA KUMAR"/>
    <x v="2"/>
    <x v="2"/>
    <x v="1"/>
    <n v="59"/>
    <n v="350"/>
    <n v="20650"/>
  </r>
  <r>
    <n v="50"/>
    <s v="ADITYA KUMAR"/>
    <x v="2"/>
    <x v="2"/>
    <x v="6"/>
    <n v="45"/>
    <n v="450"/>
    <n v="20250"/>
  </r>
  <r>
    <n v="51"/>
    <s v="ADITYA KUMAR"/>
    <x v="2"/>
    <x v="2"/>
    <x v="6"/>
    <n v="12"/>
    <n v="450"/>
    <n v="5400"/>
  </r>
  <r>
    <n v="52"/>
    <s v="ADITYA KUMAR"/>
    <x v="2"/>
    <x v="2"/>
    <x v="6"/>
    <n v="10"/>
    <n v="450"/>
    <n v="4500"/>
  </r>
  <r>
    <n v="53"/>
    <s v="ADITYA KUMAR"/>
    <x v="1"/>
    <x v="2"/>
    <x v="1"/>
    <n v="30"/>
    <n v="350"/>
    <n v="10500"/>
  </r>
  <r>
    <n v="54"/>
    <s v="ADITYA KUMAR"/>
    <x v="1"/>
    <x v="2"/>
    <x v="1"/>
    <n v="25"/>
    <n v="350"/>
    <n v="8750"/>
  </r>
  <r>
    <n v="55"/>
    <s v="ADITYA KUMAR"/>
    <x v="1"/>
    <x v="2"/>
    <x v="1"/>
    <n v="62"/>
    <n v="350"/>
    <n v="21700"/>
  </r>
  <r>
    <n v="56"/>
    <s v="SHIVAM VERMA"/>
    <x v="1"/>
    <x v="2"/>
    <x v="7"/>
    <n v="10"/>
    <n v="180"/>
    <n v="1800"/>
  </r>
  <r>
    <n v="57"/>
    <s v="SHIVAM VERMA"/>
    <x v="1"/>
    <x v="2"/>
    <x v="7"/>
    <n v="14"/>
    <n v="180"/>
    <n v="2520"/>
  </r>
  <r>
    <n v="58"/>
    <s v="SHIVAM VERMA"/>
    <x v="1"/>
    <x v="2"/>
    <x v="7"/>
    <n v="19"/>
    <n v="180"/>
    <n v="3420"/>
  </r>
  <r>
    <n v="59"/>
    <s v="SHIVAM VERMA"/>
    <x v="1"/>
    <x v="2"/>
    <x v="7"/>
    <n v="25"/>
    <n v="180"/>
    <n v="4500"/>
  </r>
  <r>
    <n v="60"/>
    <s v="SHIVAM VERMA"/>
    <x v="1"/>
    <x v="2"/>
    <x v="7"/>
    <n v="36"/>
    <n v="180"/>
    <n v="6480"/>
  </r>
  <r>
    <n v="61"/>
    <s v="MANOJ SHRIVASTAWA"/>
    <x v="1"/>
    <x v="2"/>
    <x v="7"/>
    <n v="69"/>
    <n v="180"/>
    <n v="12420"/>
  </r>
  <r>
    <n v="62"/>
    <s v="MANOJ SHRIVASTAWA"/>
    <x v="1"/>
    <x v="2"/>
    <x v="7"/>
    <n v="90"/>
    <n v="180"/>
    <n v="16200"/>
  </r>
  <r>
    <n v="63"/>
    <s v="MANOJ SHRIVASTAWA"/>
    <x v="1"/>
    <x v="2"/>
    <x v="2"/>
    <n v="83"/>
    <n v="50"/>
    <n v="4150"/>
  </r>
  <r>
    <n v="64"/>
    <s v="MANOJ SHRIVASTAWA"/>
    <x v="1"/>
    <x v="2"/>
    <x v="4"/>
    <n v="82"/>
    <n v="108"/>
    <n v="8856"/>
  </r>
  <r>
    <n v="65"/>
    <s v="MANOJ SHRIVASTAWA"/>
    <x v="1"/>
    <x v="2"/>
    <x v="4"/>
    <n v="45"/>
    <n v="108"/>
    <n v="4860"/>
  </r>
  <r>
    <n v="66"/>
    <s v="MANOJ SHRIVASTAWA"/>
    <x v="1"/>
    <x v="2"/>
    <x v="4"/>
    <n v="48"/>
    <n v="108"/>
    <n v="5184"/>
  </r>
  <r>
    <n v="67"/>
    <s v="MANOJ SHRIVASTAWA"/>
    <x v="1"/>
    <x v="2"/>
    <x v="4"/>
    <n v="80"/>
    <n v="108"/>
    <n v="8640"/>
  </r>
  <r>
    <n v="68"/>
    <s v="RAVI MAURYA"/>
    <x v="1"/>
    <x v="2"/>
    <x v="5"/>
    <n v="73"/>
    <n v="125"/>
    <n v="9125"/>
  </r>
  <r>
    <n v="69"/>
    <s v="RAVI MAURYA"/>
    <x v="1"/>
    <x v="2"/>
    <x v="5"/>
    <n v="71"/>
    <n v="125"/>
    <n v="8875"/>
  </r>
  <r>
    <n v="70"/>
    <s v="RAVI MAURYA"/>
    <x v="1"/>
    <x v="2"/>
    <x v="5"/>
    <n v="79"/>
    <n v="125"/>
    <n v="9875"/>
  </r>
  <r>
    <n v="71"/>
    <s v="RAVI MAURYA"/>
    <x v="1"/>
    <x v="2"/>
    <x v="5"/>
    <n v="56"/>
    <n v="125"/>
    <n v="7000"/>
  </r>
  <r>
    <n v="72"/>
    <s v="RAVI MAURYA"/>
    <x v="1"/>
    <x v="2"/>
    <x v="1"/>
    <n v="90"/>
    <n v="350"/>
    <n v="31500"/>
  </r>
  <r>
    <n v="73"/>
    <s v="RAVI MAURYA"/>
    <x v="1"/>
    <x v="2"/>
    <x v="0"/>
    <n v="86"/>
    <n v="150"/>
    <n v="12900"/>
  </r>
  <r>
    <n v="74"/>
    <s v="RAJU  GUPTA"/>
    <x v="1"/>
    <x v="2"/>
    <x v="0"/>
    <n v="50"/>
    <n v="150"/>
    <n v="7500"/>
  </r>
  <r>
    <n v="75"/>
    <s v="RAJU  GUPTA"/>
    <x v="2"/>
    <x v="2"/>
    <x v="2"/>
    <n v="45"/>
    <n v="50"/>
    <n v="2250"/>
  </r>
  <r>
    <n v="76"/>
    <s v="RAJU  GUPTA"/>
    <x v="2"/>
    <x v="2"/>
    <x v="3"/>
    <n v="52"/>
    <n v="112"/>
    <n v="5824"/>
  </r>
  <r>
    <n v="77"/>
    <s v="RAJU  GUPTA"/>
    <x v="2"/>
    <x v="2"/>
    <x v="3"/>
    <n v="40"/>
    <n v="112"/>
    <n v="4480"/>
  </r>
  <r>
    <n v="78"/>
    <s v="RAJU  GUPTA"/>
    <x v="2"/>
    <x v="2"/>
    <x v="2"/>
    <n v="70"/>
    <n v="50"/>
    <n v="3500"/>
  </r>
  <r>
    <n v="79"/>
    <s v="RAJU  GUPTA"/>
    <x v="2"/>
    <x v="2"/>
    <x v="0"/>
    <n v="80"/>
    <n v="150"/>
    <n v="12000"/>
  </r>
  <r>
    <n v="80"/>
    <s v="RAJU  GUPTA"/>
    <x v="2"/>
    <x v="2"/>
    <x v="6"/>
    <n v="20"/>
    <n v="450"/>
    <n v="9000"/>
  </r>
  <r>
    <n v="81"/>
    <s v="MANNA DEY"/>
    <x v="2"/>
    <x v="3"/>
    <x v="6"/>
    <n v="34"/>
    <n v="450"/>
    <n v="15300"/>
  </r>
  <r>
    <n v="82"/>
    <s v="MANNA DEY"/>
    <x v="2"/>
    <x v="3"/>
    <x v="6"/>
    <n v="30"/>
    <n v="450"/>
    <n v="13500"/>
  </r>
  <r>
    <n v="83"/>
    <s v="MANNA DEY"/>
    <x v="2"/>
    <x v="3"/>
    <x v="1"/>
    <n v="50"/>
    <n v="350"/>
    <n v="17500"/>
  </r>
  <r>
    <n v="84"/>
    <s v="MANNA DEY"/>
    <x v="2"/>
    <x v="3"/>
    <x v="0"/>
    <n v="45"/>
    <n v="150"/>
    <n v="6750"/>
  </r>
  <r>
    <n v="85"/>
    <s v="MANNA DEY"/>
    <x v="2"/>
    <x v="3"/>
    <x v="0"/>
    <n v="48"/>
    <n v="150"/>
    <n v="7200"/>
  </r>
  <r>
    <n v="86"/>
    <s v="SHIVAM VERMA"/>
    <x v="2"/>
    <x v="3"/>
    <x v="0"/>
    <n v="18"/>
    <n v="150"/>
    <n v="2700"/>
  </r>
  <r>
    <n v="87"/>
    <s v="SHIVAM VERMA"/>
    <x v="2"/>
    <x v="3"/>
    <x v="5"/>
    <n v="19"/>
    <n v="125"/>
    <n v="2375"/>
  </r>
  <r>
    <n v="88"/>
    <s v="SHIVAM VERMA"/>
    <x v="2"/>
    <x v="3"/>
    <x v="5"/>
    <n v="6"/>
    <n v="125"/>
    <n v="750"/>
  </r>
  <r>
    <n v="89"/>
    <s v="SHIVAM VERMA"/>
    <x v="2"/>
    <x v="3"/>
    <x v="5"/>
    <n v="40"/>
    <n v="125"/>
    <n v="5000"/>
  </r>
  <r>
    <n v="90"/>
    <s v="SHIVAM VERMA"/>
    <x v="0"/>
    <x v="3"/>
    <x v="5"/>
    <n v="80"/>
    <n v="125"/>
    <n v="10000"/>
  </r>
  <r>
    <n v="91"/>
    <s v="RAHUL PANDAY"/>
    <x v="0"/>
    <x v="3"/>
    <x v="4"/>
    <n v="91"/>
    <n v="108"/>
    <n v="9828"/>
  </r>
  <r>
    <n v="92"/>
    <s v="RAHUL PANDAY"/>
    <x v="0"/>
    <x v="3"/>
    <x v="4"/>
    <n v="74"/>
    <n v="108"/>
    <n v="7992"/>
  </r>
  <r>
    <n v="93"/>
    <s v="RAHUL PANDAY"/>
    <x v="0"/>
    <x v="3"/>
    <x v="4"/>
    <n v="62"/>
    <n v="108"/>
    <n v="6696"/>
  </r>
  <r>
    <n v="94"/>
    <s v="RAHUL PANDAY"/>
    <x v="0"/>
    <x v="3"/>
    <x v="3"/>
    <n v="50"/>
    <n v="112"/>
    <n v="5600"/>
  </r>
  <r>
    <n v="95"/>
    <s v="RAHUL PANDAY"/>
    <x v="0"/>
    <x v="3"/>
    <x v="3"/>
    <n v="36"/>
    <n v="112"/>
    <n v="4032"/>
  </r>
  <r>
    <n v="96"/>
    <s v="RAHUL PANDAY"/>
    <x v="0"/>
    <x v="3"/>
    <x v="3"/>
    <n v="90"/>
    <n v="112"/>
    <n v="10080"/>
  </r>
  <r>
    <n v="97"/>
    <s v="RAHUL PANDAY"/>
    <x v="0"/>
    <x v="3"/>
    <x v="3"/>
    <n v="48"/>
    <n v="112"/>
    <n v="5376"/>
  </r>
  <r>
    <n v="98"/>
    <s v="RAHUL PANDAY"/>
    <x v="0"/>
    <x v="3"/>
    <x v="6"/>
    <n v="74"/>
    <n v="450"/>
    <n v="33300"/>
  </r>
  <r>
    <n v="99"/>
    <s v="ARVIND KUMAR"/>
    <x v="0"/>
    <x v="3"/>
    <x v="6"/>
    <n v="36"/>
    <n v="450"/>
    <n v="16200"/>
  </r>
  <r>
    <n v="100"/>
    <s v="ARVIND KUMAR"/>
    <x v="0"/>
    <x v="3"/>
    <x v="6"/>
    <n v="32"/>
    <n v="450"/>
    <n v="14400"/>
  </r>
  <r>
    <n v="101"/>
    <s v="ARVIND KUMAR"/>
    <x v="0"/>
    <x v="3"/>
    <x v="7"/>
    <n v="90"/>
    <n v="180"/>
    <n v="16200"/>
  </r>
  <r>
    <n v="102"/>
    <s v="ARVIND KUMAR"/>
    <x v="1"/>
    <x v="3"/>
    <x v="7"/>
    <n v="80"/>
    <n v="180"/>
    <n v="14400"/>
  </r>
  <r>
    <n v="103"/>
    <s v="ARVIND KUMAR"/>
    <x v="1"/>
    <x v="3"/>
    <x v="2"/>
    <n v="21"/>
    <n v="50"/>
    <n v="1050"/>
  </r>
  <r>
    <n v="104"/>
    <s v="ARVIND KUMAR"/>
    <x v="1"/>
    <x v="3"/>
    <x v="2"/>
    <n v="12"/>
    <n v="50"/>
    <n v="600"/>
  </r>
  <r>
    <n v="105"/>
    <s v="ARVIND KUMAR"/>
    <x v="1"/>
    <x v="3"/>
    <x v="0"/>
    <n v="45"/>
    <n v="150"/>
    <n v="6750"/>
  </r>
  <r>
    <n v="106"/>
    <s v="ARVIND KUMAR"/>
    <x v="1"/>
    <x v="3"/>
    <x v="0"/>
    <n v="72"/>
    <n v="150"/>
    <n v="10800"/>
  </r>
  <r>
    <n v="107"/>
    <s v="ARVIND KUMAR"/>
    <x v="1"/>
    <x v="3"/>
    <x v="0"/>
    <n v="63"/>
    <n v="150"/>
    <n v="9450"/>
  </r>
  <r>
    <n v="108"/>
    <s v="HARESH RAM"/>
    <x v="2"/>
    <x v="3"/>
    <x v="1"/>
    <n v="56"/>
    <n v="350"/>
    <n v="19600"/>
  </r>
  <r>
    <n v="109"/>
    <s v="HARESH RAM"/>
    <x v="2"/>
    <x v="3"/>
    <x v="1"/>
    <n v="85"/>
    <n v="350"/>
    <n v="29750"/>
  </r>
  <r>
    <n v="110"/>
    <s v="HARESH RAM"/>
    <x v="2"/>
    <x v="3"/>
    <x v="1"/>
    <n v="45"/>
    <n v="350"/>
    <n v="15750"/>
  </r>
  <r>
    <n v="111"/>
    <s v="HARESH RAM"/>
    <x v="2"/>
    <x v="3"/>
    <x v="5"/>
    <n v="75"/>
    <n v="125"/>
    <n v="9375"/>
  </r>
  <r>
    <n v="112"/>
    <s v="HARESH RAM"/>
    <x v="2"/>
    <x v="3"/>
    <x v="5"/>
    <n v="53"/>
    <n v="125"/>
    <n v="6625"/>
  </r>
  <r>
    <n v="113"/>
    <s v="NAVEEN MISHRA"/>
    <x v="2"/>
    <x v="3"/>
    <x v="5"/>
    <n v="35"/>
    <n v="125"/>
    <n v="4375"/>
  </r>
  <r>
    <n v="114"/>
    <s v="NAVEEN MISHRA"/>
    <x v="2"/>
    <x v="3"/>
    <x v="2"/>
    <n v="59"/>
    <n v="50"/>
    <n v="2950"/>
  </r>
  <r>
    <n v="115"/>
    <s v="NAVEEN MISHRA"/>
    <x v="2"/>
    <x v="3"/>
    <x v="2"/>
    <n v="51"/>
    <n v="50"/>
    <n v="2550"/>
  </r>
  <r>
    <n v="116"/>
    <s v="NAVEEN MISHRA"/>
    <x v="0"/>
    <x v="3"/>
    <x v="3"/>
    <n v="54"/>
    <n v="112"/>
    <n v="6048"/>
  </r>
  <r>
    <n v="117"/>
    <s v="NAVEEN MISHRA"/>
    <x v="0"/>
    <x v="3"/>
    <x v="3"/>
    <n v="56"/>
    <n v="112"/>
    <n v="6272"/>
  </r>
  <r>
    <n v="118"/>
    <s v="NAVEEN MISHRA"/>
    <x v="0"/>
    <x v="3"/>
    <x v="6"/>
    <n v="45"/>
    <n v="450"/>
    <n v="20250"/>
  </r>
  <r>
    <n v="119"/>
    <s v="NAVEEN MISHRA"/>
    <x v="0"/>
    <x v="3"/>
    <x v="6"/>
    <n v="12"/>
    <n v="450"/>
    <n v="5400"/>
  </r>
  <r>
    <n v="120"/>
    <s v="NAVEEN MISHRA"/>
    <x v="0"/>
    <x v="3"/>
    <x v="6"/>
    <n v="17"/>
    <n v="450"/>
    <n v="76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1:B15" firstHeaderRow="1" firstDataRow="1" firstDataCol="1"/>
  <pivotFields count="8">
    <pivotField showAll="0"/>
    <pivotField showAll="0"/>
    <pivotField axis="axisRow" showAll="0">
      <items count="4">
        <item x="1"/>
        <item x="2"/>
        <item x="0"/>
        <item t="default"/>
      </items>
    </pivotField>
    <pivotField showAll="0">
      <items count="5">
        <item x="0"/>
        <item x="2"/>
        <item x="3"/>
        <item x="1"/>
        <item t="default"/>
      </items>
    </pivotField>
    <pivotField showAll="0">
      <items count="9">
        <item h="1" x="7"/>
        <item h="1" x="1"/>
        <item h="1" x="5"/>
        <item h="1" x="4"/>
        <item x="0"/>
        <item h="1" x="6"/>
        <item h="1" x="2"/>
        <item h="1" x="3"/>
        <item t="default"/>
      </items>
    </pivotField>
    <pivotField showAll="0"/>
    <pivotField showAll="0"/>
    <pivotField dataField="1" showAll="0"/>
  </pivotFields>
  <rowFields count="1">
    <field x="2"/>
  </rowFields>
  <rowItems count="4">
    <i>
      <x/>
    </i>
    <i>
      <x v="1"/>
    </i>
    <i>
      <x v="2"/>
    </i>
    <i t="grand">
      <x/>
    </i>
  </rowItems>
  <colItems count="1">
    <i/>
  </colItems>
  <dataFields count="1">
    <dataField name="Sum of Amt" fld="7"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6"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30:A31" firstHeaderRow="1" firstDataRow="1" firstDataCol="0"/>
  <pivotFields count="8">
    <pivotField showAll="0"/>
    <pivotField showAll="0"/>
    <pivotField showAll="0">
      <items count="4">
        <item x="1"/>
        <item x="2"/>
        <item x="0"/>
        <item t="default"/>
      </items>
    </pivotField>
    <pivotField showAll="0">
      <items count="5">
        <item x="0"/>
        <item x="2"/>
        <item x="3"/>
        <item x="1"/>
        <item t="default"/>
      </items>
    </pivotField>
    <pivotField showAll="0">
      <items count="9">
        <item h="1" x="7"/>
        <item h="1" x="1"/>
        <item h="1" x="5"/>
        <item h="1" x="4"/>
        <item x="0"/>
        <item h="1" x="6"/>
        <item h="1" x="2"/>
        <item h="1" x="3"/>
        <item t="default"/>
      </items>
    </pivotField>
    <pivotField showAll="0"/>
    <pivotField showAll="0"/>
    <pivotField dataField="1" showAll="0"/>
  </pivotFields>
  <rowItems count="1">
    <i/>
  </rowItems>
  <colItems count="1">
    <i/>
  </colItems>
  <dataFields count="1">
    <dataField name="Sum of 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8">
    <pivotField showAll="0"/>
    <pivotField showAll="0"/>
    <pivotField showAll="0">
      <items count="4">
        <item x="1"/>
        <item x="2"/>
        <item x="0"/>
        <item t="default"/>
      </items>
    </pivotField>
    <pivotField axis="axisRow" showAll="0">
      <items count="5">
        <item x="0"/>
        <item x="2"/>
        <item x="3"/>
        <item x="1"/>
        <item t="default"/>
      </items>
    </pivotField>
    <pivotField showAll="0">
      <items count="9">
        <item h="1" x="7"/>
        <item h="1" x="1"/>
        <item h="1" x="5"/>
        <item h="1" x="4"/>
        <item x="0"/>
        <item h="1" x="6"/>
        <item h="1" x="2"/>
        <item h="1" x="3"/>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Amt"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19:B21" firstHeaderRow="1" firstDataRow="1" firstDataCol="1"/>
  <pivotFields count="8">
    <pivotField showAll="0"/>
    <pivotField showAll="0"/>
    <pivotField showAll="0">
      <items count="4">
        <item x="1"/>
        <item x="2"/>
        <item x="0"/>
        <item t="default"/>
      </items>
    </pivotField>
    <pivotField showAll="0">
      <items count="5">
        <item x="0"/>
        <item x="2"/>
        <item x="3"/>
        <item x="1"/>
        <item t="default"/>
      </items>
    </pivotField>
    <pivotField axis="axisRow" showAll="0">
      <items count="9">
        <item h="1" x="7"/>
        <item h="1" x="1"/>
        <item h="1" x="5"/>
        <item h="1" x="4"/>
        <item x="0"/>
        <item h="1" x="6"/>
        <item h="1" x="2"/>
        <item h="1" x="3"/>
        <item t="default"/>
      </items>
    </pivotField>
    <pivotField dataField="1" showAll="0"/>
    <pivotField showAll="0"/>
    <pivotField showAll="0"/>
  </pivotFields>
  <rowFields count="1">
    <field x="4"/>
  </rowFields>
  <rowItems count="2">
    <i>
      <x v="4"/>
    </i>
    <i t="grand">
      <x/>
    </i>
  </rowItems>
  <colItems count="1">
    <i/>
  </colItems>
  <dataFields count="1">
    <dataField name="Sum of Qty" fld="5" baseField="0" baseItem="0"/>
  </dataFields>
  <chartFormats count="1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6" format="4">
      <pivotArea type="data" outline="0" fieldPosition="0">
        <references count="2">
          <reference field="4294967294" count="1" selected="0">
            <x v="0"/>
          </reference>
          <reference field="4" count="1" selected="0">
            <x v="1"/>
          </reference>
        </references>
      </pivotArea>
    </chartFormat>
    <chartFormat chart="6" format="5">
      <pivotArea type="data" outline="0" fieldPosition="0">
        <references count="2">
          <reference field="4294967294" count="1" selected="0">
            <x v="0"/>
          </reference>
          <reference field="4" count="1" selected="0">
            <x v="2"/>
          </reference>
        </references>
      </pivotArea>
    </chartFormat>
    <chartFormat chart="6" format="6">
      <pivotArea type="data" outline="0" fieldPosition="0">
        <references count="2">
          <reference field="4294967294" count="1" selected="0">
            <x v="0"/>
          </reference>
          <reference field="4" count="1" selected="0">
            <x v="3"/>
          </reference>
        </references>
      </pivotArea>
    </chartFormat>
    <chartFormat chart="6" format="7">
      <pivotArea type="data" outline="0" fieldPosition="0">
        <references count="2">
          <reference field="4294967294" count="1" selected="0">
            <x v="0"/>
          </reference>
          <reference field="4" count="1" selected="0">
            <x v="4"/>
          </reference>
        </references>
      </pivotArea>
    </chartFormat>
    <chartFormat chart="6" format="8">
      <pivotArea type="data" outline="0" fieldPosition="0">
        <references count="2">
          <reference field="4294967294" count="1" selected="0">
            <x v="0"/>
          </reference>
          <reference field="4" count="1" selected="0">
            <x v="5"/>
          </reference>
        </references>
      </pivotArea>
    </chartFormat>
    <chartFormat chart="6" format="9">
      <pivotArea type="data" outline="0" fieldPosition="0">
        <references count="2">
          <reference field="4294967294" count="1" selected="0">
            <x v="0"/>
          </reference>
          <reference field="4" count="1" selected="0">
            <x v="6"/>
          </reference>
        </references>
      </pivotArea>
    </chartFormat>
    <chartFormat chart="6" format="10">
      <pivotArea type="data" outline="0" fieldPosition="0">
        <references count="2">
          <reference field="4294967294" count="1" selected="0">
            <x v="0"/>
          </reference>
          <reference field="4" count="1" selected="0">
            <x v="7"/>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1" name="PivotTable4"/>
    <pivotTable tabId="11" name="PivotTable1"/>
    <pivotTable tabId="11" name="PivotTable2"/>
    <pivotTable tabId="11" name="PivotTable3"/>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11" name="PivotTable4"/>
    <pivotTable tabId="11" name="PivotTable1"/>
    <pivotTable tabId="11" name="PivotTable2"/>
    <pivotTable tabId="11" name="PivotTable3"/>
  </pivotTables>
  <data>
    <tabular pivotCacheId="1">
      <items count="8">
        <i x="7"/>
        <i x="1"/>
        <i x="5"/>
        <i x="4"/>
        <i x="0" s="1"/>
        <i x="6"/>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Item" cache="Slicer_Item" caption="Item" rowHeight="241300"/>
</slicers>
</file>

<file path=xl/tables/table1.xml><?xml version="1.0" encoding="utf-8"?>
<table xmlns="http://schemas.openxmlformats.org/spreadsheetml/2006/main" id="1" name="Table1" displayName="Table1" ref="A1:H121" totalsRowShown="0">
  <autoFilter ref="A1:H121"/>
  <tableColumns count="8">
    <tableColumn id="1" name="S.No."/>
    <tableColumn id="2" name="Name"/>
    <tableColumn id="3" name="city"/>
    <tableColumn id="4" name="Date"/>
    <tableColumn id="5" name="Item"/>
    <tableColumn id="6" name="Qty"/>
    <tableColumn id="7" name="Rrate"/>
    <tableColumn id="8" name="Am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
  <sheetViews>
    <sheetView tabSelected="1" workbookViewId="0">
      <selection activeCell="J18" sqref="J18"/>
    </sheetView>
  </sheetViews>
  <sheetFormatPr defaultRowHeight="15" x14ac:dyDescent="0.25"/>
  <sheetData>
    <row r="1" spans="1:8" x14ac:dyDescent="0.25">
      <c r="A1" t="s">
        <v>26</v>
      </c>
      <c r="B1" t="s">
        <v>27</v>
      </c>
      <c r="C1" t="s">
        <v>34</v>
      </c>
      <c r="D1" t="s">
        <v>0</v>
      </c>
      <c r="E1" t="s">
        <v>1</v>
      </c>
      <c r="F1" t="s">
        <v>2</v>
      </c>
      <c r="G1" t="s">
        <v>28</v>
      </c>
      <c r="H1" t="s">
        <v>29</v>
      </c>
    </row>
    <row r="2" spans="1:8" x14ac:dyDescent="0.25">
      <c r="A2">
        <v>1</v>
      </c>
      <c r="B2" t="s">
        <v>3</v>
      </c>
      <c r="C2" t="s">
        <v>35</v>
      </c>
      <c r="D2" t="s">
        <v>25</v>
      </c>
      <c r="E2" t="s">
        <v>15</v>
      </c>
      <c r="F2">
        <v>15</v>
      </c>
      <c r="G2">
        <v>150</v>
      </c>
      <c r="H2">
        <v>2250</v>
      </c>
    </row>
    <row r="3" spans="1:8" x14ac:dyDescent="0.25">
      <c r="A3">
        <v>2</v>
      </c>
      <c r="B3" t="s">
        <v>3</v>
      </c>
      <c r="C3" t="s">
        <v>35</v>
      </c>
      <c r="D3" t="s">
        <v>25</v>
      </c>
      <c r="E3" t="s">
        <v>16</v>
      </c>
      <c r="F3">
        <v>56</v>
      </c>
      <c r="G3">
        <v>350</v>
      </c>
      <c r="H3">
        <v>19600</v>
      </c>
    </row>
    <row r="4" spans="1:8" x14ac:dyDescent="0.25">
      <c r="A4">
        <v>3</v>
      </c>
      <c r="B4" t="s">
        <v>3</v>
      </c>
      <c r="C4" t="s">
        <v>35</v>
      </c>
      <c r="D4" t="s">
        <v>25</v>
      </c>
      <c r="E4" t="s">
        <v>18</v>
      </c>
      <c r="F4">
        <v>58</v>
      </c>
      <c r="G4">
        <v>50</v>
      </c>
      <c r="H4">
        <v>2900</v>
      </c>
    </row>
    <row r="5" spans="1:8" x14ac:dyDescent="0.25">
      <c r="A5">
        <v>4</v>
      </c>
      <c r="B5" t="s">
        <v>3</v>
      </c>
      <c r="C5" t="s">
        <v>35</v>
      </c>
      <c r="D5" t="s">
        <v>25</v>
      </c>
      <c r="E5" t="s">
        <v>17</v>
      </c>
      <c r="F5">
        <v>96</v>
      </c>
      <c r="G5">
        <v>112</v>
      </c>
      <c r="H5">
        <v>10752</v>
      </c>
    </row>
    <row r="6" spans="1:8" x14ac:dyDescent="0.25">
      <c r="A6">
        <v>5</v>
      </c>
      <c r="B6" t="s">
        <v>4</v>
      </c>
      <c r="C6" t="s">
        <v>35</v>
      </c>
      <c r="D6" t="s">
        <v>25</v>
      </c>
      <c r="E6" t="s">
        <v>19</v>
      </c>
      <c r="F6">
        <v>76</v>
      </c>
      <c r="G6">
        <v>108</v>
      </c>
      <c r="H6">
        <v>8208</v>
      </c>
    </row>
    <row r="7" spans="1:8" x14ac:dyDescent="0.25">
      <c r="A7">
        <v>6</v>
      </c>
      <c r="B7" t="s">
        <v>4</v>
      </c>
      <c r="C7" t="s">
        <v>35</v>
      </c>
      <c r="D7" t="s">
        <v>25</v>
      </c>
      <c r="E7" t="s">
        <v>20</v>
      </c>
      <c r="F7">
        <v>23</v>
      </c>
      <c r="G7">
        <v>125</v>
      </c>
      <c r="H7">
        <v>2875</v>
      </c>
    </row>
    <row r="8" spans="1:8" x14ac:dyDescent="0.25">
      <c r="A8">
        <v>7</v>
      </c>
      <c r="B8" t="s">
        <v>4</v>
      </c>
      <c r="C8" t="s">
        <v>35</v>
      </c>
      <c r="D8" t="s">
        <v>25</v>
      </c>
      <c r="E8" t="s">
        <v>15</v>
      </c>
      <c r="F8">
        <v>35</v>
      </c>
      <c r="G8">
        <v>150</v>
      </c>
      <c r="H8">
        <v>5250</v>
      </c>
    </row>
    <row r="9" spans="1:8" x14ac:dyDescent="0.25">
      <c r="A9">
        <v>8</v>
      </c>
      <c r="B9" t="s">
        <v>3</v>
      </c>
      <c r="C9" t="s">
        <v>35</v>
      </c>
      <c r="D9" t="s">
        <v>25</v>
      </c>
      <c r="E9" t="s">
        <v>15</v>
      </c>
      <c r="F9">
        <v>65</v>
      </c>
      <c r="G9">
        <v>150</v>
      </c>
      <c r="H9">
        <v>9750</v>
      </c>
    </row>
    <row r="10" spans="1:8" x14ac:dyDescent="0.25">
      <c r="A10">
        <v>9</v>
      </c>
      <c r="B10" t="s">
        <v>5</v>
      </c>
      <c r="C10" t="s">
        <v>35</v>
      </c>
      <c r="D10" t="s">
        <v>25</v>
      </c>
      <c r="E10" t="s">
        <v>16</v>
      </c>
      <c r="F10">
        <v>14</v>
      </c>
      <c r="G10">
        <v>350</v>
      </c>
      <c r="H10">
        <v>4900</v>
      </c>
    </row>
    <row r="11" spans="1:8" x14ac:dyDescent="0.25">
      <c r="A11">
        <v>10</v>
      </c>
      <c r="B11" t="s">
        <v>5</v>
      </c>
      <c r="C11" t="s">
        <v>36</v>
      </c>
      <c r="D11" t="s">
        <v>25</v>
      </c>
      <c r="E11" t="s">
        <v>16</v>
      </c>
      <c r="F11">
        <v>125</v>
      </c>
      <c r="G11">
        <v>350</v>
      </c>
      <c r="H11">
        <v>43750</v>
      </c>
    </row>
    <row r="12" spans="1:8" x14ac:dyDescent="0.25">
      <c r="A12">
        <v>11</v>
      </c>
      <c r="B12" t="s">
        <v>5</v>
      </c>
      <c r="C12" t="s">
        <v>36</v>
      </c>
      <c r="D12" t="s">
        <v>25</v>
      </c>
      <c r="E12" t="s">
        <v>17</v>
      </c>
      <c r="F12">
        <v>36</v>
      </c>
      <c r="G12">
        <v>112</v>
      </c>
      <c r="H12">
        <v>4032</v>
      </c>
    </row>
    <row r="13" spans="1:8" x14ac:dyDescent="0.25">
      <c r="A13">
        <v>12</v>
      </c>
      <c r="B13" t="s">
        <v>5</v>
      </c>
      <c r="C13" t="s">
        <v>36</v>
      </c>
      <c r="D13" t="s">
        <v>25</v>
      </c>
      <c r="E13" t="s">
        <v>18</v>
      </c>
      <c r="F13">
        <v>35</v>
      </c>
      <c r="G13">
        <v>50</v>
      </c>
      <c r="H13">
        <v>1750</v>
      </c>
    </row>
    <row r="14" spans="1:8" x14ac:dyDescent="0.25">
      <c r="A14">
        <v>13</v>
      </c>
      <c r="B14" t="s">
        <v>5</v>
      </c>
      <c r="C14" t="s">
        <v>36</v>
      </c>
      <c r="D14" t="s">
        <v>25</v>
      </c>
      <c r="E14" t="s">
        <v>17</v>
      </c>
      <c r="F14">
        <v>25</v>
      </c>
      <c r="G14">
        <v>112</v>
      </c>
      <c r="H14">
        <v>2800</v>
      </c>
    </row>
    <row r="15" spans="1:8" x14ac:dyDescent="0.25">
      <c r="A15">
        <v>14</v>
      </c>
      <c r="B15" t="s">
        <v>5</v>
      </c>
      <c r="C15" t="s">
        <v>36</v>
      </c>
      <c r="D15" t="s">
        <v>25</v>
      </c>
      <c r="E15" t="s">
        <v>18</v>
      </c>
      <c r="F15">
        <v>15</v>
      </c>
      <c r="G15">
        <v>50</v>
      </c>
      <c r="H15">
        <v>750</v>
      </c>
    </row>
    <row r="16" spans="1:8" x14ac:dyDescent="0.25">
      <c r="A16">
        <v>15</v>
      </c>
      <c r="B16" t="s">
        <v>5</v>
      </c>
      <c r="C16" t="s">
        <v>36</v>
      </c>
      <c r="D16" t="s">
        <v>25</v>
      </c>
      <c r="E16" t="s">
        <v>18</v>
      </c>
      <c r="F16">
        <v>78</v>
      </c>
      <c r="G16">
        <v>50</v>
      </c>
      <c r="H16">
        <v>3900</v>
      </c>
    </row>
    <row r="17" spans="1:8" x14ac:dyDescent="0.25">
      <c r="A17">
        <v>16</v>
      </c>
      <c r="B17" t="s">
        <v>5</v>
      </c>
      <c r="C17" t="s">
        <v>36</v>
      </c>
      <c r="D17" t="s">
        <v>32</v>
      </c>
      <c r="E17" t="s">
        <v>17</v>
      </c>
      <c r="F17">
        <v>87</v>
      </c>
      <c r="G17">
        <v>112</v>
      </c>
      <c r="H17">
        <v>9744</v>
      </c>
    </row>
    <row r="18" spans="1:8" x14ac:dyDescent="0.25">
      <c r="A18">
        <v>17</v>
      </c>
      <c r="B18" t="s">
        <v>5</v>
      </c>
      <c r="C18" t="s">
        <v>36</v>
      </c>
      <c r="D18" t="s">
        <v>32</v>
      </c>
      <c r="E18" t="s">
        <v>19</v>
      </c>
      <c r="F18">
        <v>45</v>
      </c>
      <c r="G18">
        <v>108</v>
      </c>
      <c r="H18">
        <v>4860</v>
      </c>
    </row>
    <row r="19" spans="1:8" x14ac:dyDescent="0.25">
      <c r="A19">
        <v>18</v>
      </c>
      <c r="B19" t="s">
        <v>3</v>
      </c>
      <c r="C19" t="s">
        <v>36</v>
      </c>
      <c r="D19" t="s">
        <v>32</v>
      </c>
      <c r="E19" t="s">
        <v>19</v>
      </c>
      <c r="F19">
        <v>41</v>
      </c>
      <c r="G19">
        <v>108</v>
      </c>
      <c r="H19">
        <v>4428</v>
      </c>
    </row>
    <row r="20" spans="1:8" x14ac:dyDescent="0.25">
      <c r="A20">
        <v>19</v>
      </c>
      <c r="B20" t="s">
        <v>3</v>
      </c>
      <c r="C20" t="s">
        <v>36</v>
      </c>
      <c r="D20" t="s">
        <v>32</v>
      </c>
      <c r="E20" t="s">
        <v>21</v>
      </c>
      <c r="F20">
        <v>25</v>
      </c>
      <c r="G20">
        <v>450</v>
      </c>
      <c r="H20">
        <v>11250</v>
      </c>
    </row>
    <row r="21" spans="1:8" x14ac:dyDescent="0.25">
      <c r="A21">
        <v>20</v>
      </c>
      <c r="B21" t="s">
        <v>3</v>
      </c>
      <c r="C21" t="s">
        <v>36</v>
      </c>
      <c r="D21" t="s">
        <v>32</v>
      </c>
      <c r="E21" t="s">
        <v>21</v>
      </c>
      <c r="F21">
        <v>36</v>
      </c>
      <c r="G21">
        <v>450</v>
      </c>
      <c r="H21">
        <v>16200</v>
      </c>
    </row>
    <row r="22" spans="1:8" x14ac:dyDescent="0.25">
      <c r="A22">
        <v>21</v>
      </c>
      <c r="B22" t="s">
        <v>3</v>
      </c>
      <c r="C22" t="s">
        <v>35</v>
      </c>
      <c r="D22" t="s">
        <v>32</v>
      </c>
      <c r="E22" t="s">
        <v>22</v>
      </c>
      <c r="F22">
        <v>95</v>
      </c>
      <c r="G22">
        <v>180</v>
      </c>
      <c r="H22">
        <v>17100</v>
      </c>
    </row>
    <row r="23" spans="1:8" x14ac:dyDescent="0.25">
      <c r="A23">
        <v>22</v>
      </c>
      <c r="B23" t="s">
        <v>3</v>
      </c>
      <c r="C23" t="s">
        <v>35</v>
      </c>
      <c r="D23" t="s">
        <v>32</v>
      </c>
      <c r="E23" t="s">
        <v>15</v>
      </c>
      <c r="F23">
        <v>112</v>
      </c>
      <c r="G23">
        <v>150</v>
      </c>
      <c r="H23">
        <v>16800</v>
      </c>
    </row>
    <row r="24" spans="1:8" x14ac:dyDescent="0.25">
      <c r="A24">
        <v>23</v>
      </c>
      <c r="B24" t="s">
        <v>6</v>
      </c>
      <c r="C24" t="s">
        <v>35</v>
      </c>
      <c r="D24" t="s">
        <v>32</v>
      </c>
      <c r="E24" t="s">
        <v>15</v>
      </c>
      <c r="F24">
        <v>43</v>
      </c>
      <c r="G24">
        <v>150</v>
      </c>
      <c r="H24">
        <v>6450</v>
      </c>
    </row>
    <row r="25" spans="1:8" x14ac:dyDescent="0.25">
      <c r="A25">
        <v>24</v>
      </c>
      <c r="B25" t="s">
        <v>6</v>
      </c>
      <c r="C25" t="s">
        <v>35</v>
      </c>
      <c r="D25" t="s">
        <v>32</v>
      </c>
      <c r="E25" t="s">
        <v>16</v>
      </c>
      <c r="F25">
        <v>78</v>
      </c>
      <c r="G25">
        <v>350</v>
      </c>
      <c r="H25">
        <v>27300</v>
      </c>
    </row>
    <row r="26" spans="1:8" x14ac:dyDescent="0.25">
      <c r="A26">
        <v>25</v>
      </c>
      <c r="B26" t="s">
        <v>6</v>
      </c>
      <c r="C26" t="s">
        <v>35</v>
      </c>
      <c r="D26" t="s">
        <v>32</v>
      </c>
      <c r="E26" t="s">
        <v>22</v>
      </c>
      <c r="F26">
        <v>25</v>
      </c>
      <c r="G26">
        <v>180</v>
      </c>
      <c r="H26">
        <v>4500</v>
      </c>
    </row>
    <row r="27" spans="1:8" x14ac:dyDescent="0.25">
      <c r="A27">
        <v>26</v>
      </c>
      <c r="B27" t="s">
        <v>6</v>
      </c>
      <c r="C27" t="s">
        <v>35</v>
      </c>
      <c r="D27" t="s">
        <v>32</v>
      </c>
      <c r="E27" t="s">
        <v>18</v>
      </c>
      <c r="F27">
        <v>63</v>
      </c>
      <c r="G27">
        <v>50</v>
      </c>
      <c r="H27">
        <v>3150</v>
      </c>
    </row>
    <row r="28" spans="1:8" x14ac:dyDescent="0.25">
      <c r="A28">
        <v>27</v>
      </c>
      <c r="B28" t="s">
        <v>6</v>
      </c>
      <c r="C28" t="s">
        <v>35</v>
      </c>
      <c r="D28" t="s">
        <v>32</v>
      </c>
      <c r="E28" t="s">
        <v>17</v>
      </c>
      <c r="F28">
        <v>39</v>
      </c>
      <c r="G28">
        <v>112</v>
      </c>
      <c r="H28">
        <v>4368</v>
      </c>
    </row>
    <row r="29" spans="1:8" x14ac:dyDescent="0.25">
      <c r="A29">
        <v>28</v>
      </c>
      <c r="B29" t="s">
        <v>6</v>
      </c>
      <c r="C29" t="s">
        <v>35</v>
      </c>
      <c r="D29" t="s">
        <v>32</v>
      </c>
      <c r="E29" t="s">
        <v>20</v>
      </c>
      <c r="F29">
        <v>98</v>
      </c>
      <c r="G29">
        <v>125</v>
      </c>
      <c r="H29">
        <v>12250</v>
      </c>
    </row>
    <row r="30" spans="1:8" x14ac:dyDescent="0.25">
      <c r="A30">
        <v>29</v>
      </c>
      <c r="B30" t="s">
        <v>6</v>
      </c>
      <c r="C30" t="s">
        <v>35</v>
      </c>
      <c r="D30" t="s">
        <v>32</v>
      </c>
      <c r="E30" t="s">
        <v>22</v>
      </c>
      <c r="F30">
        <v>125</v>
      </c>
      <c r="G30">
        <v>180</v>
      </c>
      <c r="H30">
        <v>22500</v>
      </c>
    </row>
    <row r="31" spans="1:8" x14ac:dyDescent="0.25">
      <c r="A31">
        <v>30</v>
      </c>
      <c r="B31" t="s">
        <v>6</v>
      </c>
      <c r="C31" t="s">
        <v>35</v>
      </c>
      <c r="D31" t="s">
        <v>32</v>
      </c>
      <c r="E31" t="s">
        <v>22</v>
      </c>
      <c r="F31">
        <v>45</v>
      </c>
      <c r="G31">
        <v>180</v>
      </c>
      <c r="H31">
        <v>8100</v>
      </c>
    </row>
    <row r="32" spans="1:8" x14ac:dyDescent="0.25">
      <c r="A32">
        <v>31</v>
      </c>
      <c r="B32" t="s">
        <v>4</v>
      </c>
      <c r="C32" t="s">
        <v>35</v>
      </c>
      <c r="D32" t="s">
        <v>32</v>
      </c>
      <c r="E32" t="s">
        <v>22</v>
      </c>
      <c r="F32">
        <v>73</v>
      </c>
      <c r="G32">
        <v>180</v>
      </c>
      <c r="H32">
        <v>13140</v>
      </c>
    </row>
    <row r="33" spans="1:8" x14ac:dyDescent="0.25">
      <c r="A33">
        <v>32</v>
      </c>
      <c r="B33" t="s">
        <v>4</v>
      </c>
      <c r="C33" t="s">
        <v>35</v>
      </c>
      <c r="D33" t="s">
        <v>32</v>
      </c>
      <c r="E33" t="s">
        <v>17</v>
      </c>
      <c r="F33">
        <v>71</v>
      </c>
      <c r="G33">
        <v>112</v>
      </c>
      <c r="H33">
        <v>7952</v>
      </c>
    </row>
    <row r="34" spans="1:8" x14ac:dyDescent="0.25">
      <c r="A34">
        <v>33</v>
      </c>
      <c r="B34" t="s">
        <v>4</v>
      </c>
      <c r="C34" t="s">
        <v>35</v>
      </c>
      <c r="D34" t="s">
        <v>32</v>
      </c>
      <c r="E34" t="s">
        <v>16</v>
      </c>
      <c r="F34">
        <v>23</v>
      </c>
      <c r="G34">
        <v>350</v>
      </c>
      <c r="H34">
        <v>8050</v>
      </c>
    </row>
    <row r="35" spans="1:8" x14ac:dyDescent="0.25">
      <c r="A35">
        <v>34</v>
      </c>
      <c r="B35" t="s">
        <v>4</v>
      </c>
      <c r="C35" t="s">
        <v>35</v>
      </c>
      <c r="D35" t="s">
        <v>32</v>
      </c>
      <c r="E35" t="s">
        <v>16</v>
      </c>
      <c r="F35">
        <v>12</v>
      </c>
      <c r="G35">
        <v>350</v>
      </c>
      <c r="H35">
        <v>4200</v>
      </c>
    </row>
    <row r="36" spans="1:8" x14ac:dyDescent="0.25">
      <c r="A36">
        <v>35</v>
      </c>
      <c r="B36" t="s">
        <v>4</v>
      </c>
      <c r="C36" t="s">
        <v>35</v>
      </c>
      <c r="D36" t="s">
        <v>32</v>
      </c>
      <c r="E36" t="s">
        <v>18</v>
      </c>
      <c r="F36">
        <v>25</v>
      </c>
      <c r="G36">
        <v>50</v>
      </c>
      <c r="H36">
        <v>1250</v>
      </c>
    </row>
    <row r="37" spans="1:8" x14ac:dyDescent="0.25">
      <c r="A37">
        <v>36</v>
      </c>
      <c r="B37" t="s">
        <v>4</v>
      </c>
      <c r="C37" t="s">
        <v>35</v>
      </c>
      <c r="D37" t="s">
        <v>30</v>
      </c>
      <c r="E37" t="s">
        <v>18</v>
      </c>
      <c r="F37">
        <v>125</v>
      </c>
      <c r="G37">
        <v>50</v>
      </c>
      <c r="H37">
        <v>6250</v>
      </c>
    </row>
    <row r="38" spans="1:8" x14ac:dyDescent="0.25">
      <c r="A38">
        <v>37</v>
      </c>
      <c r="B38" t="s">
        <v>4</v>
      </c>
      <c r="C38" t="s">
        <v>35</v>
      </c>
      <c r="D38" t="s">
        <v>30</v>
      </c>
      <c r="E38" t="s">
        <v>18</v>
      </c>
      <c r="F38">
        <v>45</v>
      </c>
      <c r="G38">
        <v>50</v>
      </c>
      <c r="H38">
        <v>2250</v>
      </c>
    </row>
    <row r="39" spans="1:8" x14ac:dyDescent="0.25">
      <c r="A39">
        <v>38</v>
      </c>
      <c r="B39" t="s">
        <v>4</v>
      </c>
      <c r="C39" t="s">
        <v>35</v>
      </c>
      <c r="D39" t="s">
        <v>30</v>
      </c>
      <c r="E39" t="s">
        <v>18</v>
      </c>
      <c r="F39">
        <v>63</v>
      </c>
      <c r="G39">
        <v>50</v>
      </c>
      <c r="H39">
        <v>3150</v>
      </c>
    </row>
    <row r="40" spans="1:8" x14ac:dyDescent="0.25">
      <c r="A40">
        <v>39</v>
      </c>
      <c r="B40" t="s">
        <v>4</v>
      </c>
      <c r="C40" t="s">
        <v>35</v>
      </c>
      <c r="D40" t="s">
        <v>30</v>
      </c>
      <c r="E40" t="s">
        <v>17</v>
      </c>
      <c r="F40">
        <v>65</v>
      </c>
      <c r="G40">
        <v>112</v>
      </c>
      <c r="H40">
        <v>7280</v>
      </c>
    </row>
    <row r="41" spans="1:8" x14ac:dyDescent="0.25">
      <c r="A41">
        <v>40</v>
      </c>
      <c r="B41" t="s">
        <v>4</v>
      </c>
      <c r="C41" t="s">
        <v>35</v>
      </c>
      <c r="D41" t="s">
        <v>30</v>
      </c>
      <c r="E41" t="s">
        <v>17</v>
      </c>
      <c r="F41">
        <v>12</v>
      </c>
      <c r="G41">
        <v>112</v>
      </c>
      <c r="H41">
        <v>1344</v>
      </c>
    </row>
    <row r="42" spans="1:8" x14ac:dyDescent="0.25">
      <c r="A42">
        <v>41</v>
      </c>
      <c r="B42" t="s">
        <v>7</v>
      </c>
      <c r="C42" t="s">
        <v>35</v>
      </c>
      <c r="D42" t="s">
        <v>30</v>
      </c>
      <c r="E42" t="s">
        <v>17</v>
      </c>
      <c r="F42">
        <v>84</v>
      </c>
      <c r="G42">
        <v>112</v>
      </c>
      <c r="H42">
        <v>9408</v>
      </c>
    </row>
    <row r="43" spans="1:8" x14ac:dyDescent="0.25">
      <c r="A43">
        <v>42</v>
      </c>
      <c r="B43" t="s">
        <v>7</v>
      </c>
      <c r="C43" t="s">
        <v>37</v>
      </c>
      <c r="D43" t="s">
        <v>30</v>
      </c>
      <c r="E43" t="s">
        <v>17</v>
      </c>
      <c r="F43">
        <v>85</v>
      </c>
      <c r="G43">
        <v>112</v>
      </c>
      <c r="H43">
        <v>9520</v>
      </c>
    </row>
    <row r="44" spans="1:8" x14ac:dyDescent="0.25">
      <c r="A44">
        <v>43</v>
      </c>
      <c r="B44" t="s">
        <v>7</v>
      </c>
      <c r="C44" t="s">
        <v>37</v>
      </c>
      <c r="D44" t="s">
        <v>30</v>
      </c>
      <c r="E44" t="s">
        <v>17</v>
      </c>
      <c r="F44">
        <v>96</v>
      </c>
      <c r="G44">
        <v>112</v>
      </c>
      <c r="H44">
        <v>10752</v>
      </c>
    </row>
    <row r="45" spans="1:8" x14ac:dyDescent="0.25">
      <c r="A45">
        <v>44</v>
      </c>
      <c r="B45" t="s">
        <v>7</v>
      </c>
      <c r="C45" t="s">
        <v>37</v>
      </c>
      <c r="D45" t="s">
        <v>30</v>
      </c>
      <c r="E45" t="s">
        <v>17</v>
      </c>
      <c r="F45">
        <v>63</v>
      </c>
      <c r="G45">
        <v>112</v>
      </c>
      <c r="H45">
        <v>7056</v>
      </c>
    </row>
    <row r="46" spans="1:8" x14ac:dyDescent="0.25">
      <c r="A46">
        <v>45</v>
      </c>
      <c r="B46" t="s">
        <v>7</v>
      </c>
      <c r="C46" t="s">
        <v>37</v>
      </c>
      <c r="D46" t="s">
        <v>30</v>
      </c>
      <c r="E46" t="s">
        <v>15</v>
      </c>
      <c r="F46">
        <v>41</v>
      </c>
      <c r="G46">
        <v>150</v>
      </c>
      <c r="H46">
        <v>6150</v>
      </c>
    </row>
    <row r="47" spans="1:8" x14ac:dyDescent="0.25">
      <c r="A47">
        <v>46</v>
      </c>
      <c r="B47" t="s">
        <v>7</v>
      </c>
      <c r="C47" t="s">
        <v>37</v>
      </c>
      <c r="D47" t="s">
        <v>30</v>
      </c>
      <c r="E47" t="s">
        <v>15</v>
      </c>
      <c r="F47">
        <v>25</v>
      </c>
      <c r="G47">
        <v>150</v>
      </c>
      <c r="H47">
        <v>3750</v>
      </c>
    </row>
    <row r="48" spans="1:8" x14ac:dyDescent="0.25">
      <c r="A48">
        <v>47</v>
      </c>
      <c r="B48" t="s">
        <v>7</v>
      </c>
      <c r="C48" t="s">
        <v>37</v>
      </c>
      <c r="D48" t="s">
        <v>30</v>
      </c>
      <c r="E48" t="s">
        <v>15</v>
      </c>
      <c r="F48">
        <v>63</v>
      </c>
      <c r="G48">
        <v>150</v>
      </c>
      <c r="H48">
        <v>9450</v>
      </c>
    </row>
    <row r="49" spans="1:8" x14ac:dyDescent="0.25">
      <c r="A49">
        <v>48</v>
      </c>
      <c r="B49" t="s">
        <v>7</v>
      </c>
      <c r="C49" t="s">
        <v>37</v>
      </c>
      <c r="D49" t="s">
        <v>30</v>
      </c>
      <c r="E49" t="s">
        <v>16</v>
      </c>
      <c r="F49">
        <v>23</v>
      </c>
      <c r="G49">
        <v>350</v>
      </c>
      <c r="H49">
        <v>8050</v>
      </c>
    </row>
    <row r="50" spans="1:8" x14ac:dyDescent="0.25">
      <c r="A50">
        <v>49</v>
      </c>
      <c r="B50" t="s">
        <v>8</v>
      </c>
      <c r="C50" t="s">
        <v>37</v>
      </c>
      <c r="D50" t="s">
        <v>30</v>
      </c>
      <c r="E50" t="s">
        <v>16</v>
      </c>
      <c r="F50">
        <v>59</v>
      </c>
      <c r="G50">
        <v>350</v>
      </c>
      <c r="H50">
        <v>20650</v>
      </c>
    </row>
    <row r="51" spans="1:8" x14ac:dyDescent="0.25">
      <c r="A51">
        <v>50</v>
      </c>
      <c r="B51" t="s">
        <v>8</v>
      </c>
      <c r="C51" t="s">
        <v>37</v>
      </c>
      <c r="D51" t="s">
        <v>30</v>
      </c>
      <c r="E51" t="s">
        <v>21</v>
      </c>
      <c r="F51">
        <v>45</v>
      </c>
      <c r="G51">
        <v>450</v>
      </c>
      <c r="H51">
        <v>20250</v>
      </c>
    </row>
    <row r="52" spans="1:8" x14ac:dyDescent="0.25">
      <c r="A52">
        <v>51</v>
      </c>
      <c r="B52" t="s">
        <v>8</v>
      </c>
      <c r="C52" t="s">
        <v>37</v>
      </c>
      <c r="D52" t="s">
        <v>30</v>
      </c>
      <c r="E52" t="s">
        <v>21</v>
      </c>
      <c r="F52">
        <v>12</v>
      </c>
      <c r="G52">
        <v>450</v>
      </c>
      <c r="H52">
        <v>5400</v>
      </c>
    </row>
    <row r="53" spans="1:8" x14ac:dyDescent="0.25">
      <c r="A53">
        <v>52</v>
      </c>
      <c r="B53" t="s">
        <v>8</v>
      </c>
      <c r="C53" t="s">
        <v>37</v>
      </c>
      <c r="D53" t="s">
        <v>30</v>
      </c>
      <c r="E53" t="s">
        <v>21</v>
      </c>
      <c r="F53">
        <v>10</v>
      </c>
      <c r="G53">
        <v>450</v>
      </c>
      <c r="H53">
        <v>4500</v>
      </c>
    </row>
    <row r="54" spans="1:8" x14ac:dyDescent="0.25">
      <c r="A54">
        <v>53</v>
      </c>
      <c r="B54" t="s">
        <v>8</v>
      </c>
      <c r="C54" t="s">
        <v>36</v>
      </c>
      <c r="D54" t="s">
        <v>30</v>
      </c>
      <c r="E54" t="s">
        <v>16</v>
      </c>
      <c r="F54">
        <v>30</v>
      </c>
      <c r="G54">
        <v>350</v>
      </c>
      <c r="H54">
        <v>10500</v>
      </c>
    </row>
    <row r="55" spans="1:8" x14ac:dyDescent="0.25">
      <c r="A55">
        <v>54</v>
      </c>
      <c r="B55" t="s">
        <v>8</v>
      </c>
      <c r="C55" t="s">
        <v>36</v>
      </c>
      <c r="D55" t="s">
        <v>30</v>
      </c>
      <c r="E55" t="s">
        <v>16</v>
      </c>
      <c r="F55">
        <v>25</v>
      </c>
      <c r="G55">
        <v>350</v>
      </c>
      <c r="H55">
        <v>8750</v>
      </c>
    </row>
    <row r="56" spans="1:8" x14ac:dyDescent="0.25">
      <c r="A56">
        <v>55</v>
      </c>
      <c r="B56" t="s">
        <v>8</v>
      </c>
      <c r="C56" t="s">
        <v>36</v>
      </c>
      <c r="D56" t="s">
        <v>30</v>
      </c>
      <c r="E56" t="s">
        <v>16</v>
      </c>
      <c r="F56">
        <v>62</v>
      </c>
      <c r="G56">
        <v>350</v>
      </c>
      <c r="H56">
        <v>21700</v>
      </c>
    </row>
    <row r="57" spans="1:8" x14ac:dyDescent="0.25">
      <c r="A57">
        <v>56</v>
      </c>
      <c r="B57" t="s">
        <v>3</v>
      </c>
      <c r="C57" t="s">
        <v>36</v>
      </c>
      <c r="D57" t="s">
        <v>30</v>
      </c>
      <c r="E57" t="s">
        <v>22</v>
      </c>
      <c r="F57">
        <v>10</v>
      </c>
      <c r="G57">
        <v>180</v>
      </c>
      <c r="H57">
        <v>1800</v>
      </c>
    </row>
    <row r="58" spans="1:8" x14ac:dyDescent="0.25">
      <c r="A58">
        <v>57</v>
      </c>
      <c r="B58" t="s">
        <v>3</v>
      </c>
      <c r="C58" t="s">
        <v>36</v>
      </c>
      <c r="D58" t="s">
        <v>30</v>
      </c>
      <c r="E58" t="s">
        <v>22</v>
      </c>
      <c r="F58">
        <v>14</v>
      </c>
      <c r="G58">
        <v>180</v>
      </c>
      <c r="H58">
        <v>2520</v>
      </c>
    </row>
    <row r="59" spans="1:8" x14ac:dyDescent="0.25">
      <c r="A59">
        <v>58</v>
      </c>
      <c r="B59" t="s">
        <v>3</v>
      </c>
      <c r="C59" t="s">
        <v>36</v>
      </c>
      <c r="D59" t="s">
        <v>30</v>
      </c>
      <c r="E59" t="s">
        <v>22</v>
      </c>
      <c r="F59">
        <v>19</v>
      </c>
      <c r="G59">
        <v>180</v>
      </c>
      <c r="H59">
        <v>3420</v>
      </c>
    </row>
    <row r="60" spans="1:8" x14ac:dyDescent="0.25">
      <c r="A60">
        <v>59</v>
      </c>
      <c r="B60" t="s">
        <v>3</v>
      </c>
      <c r="C60" t="s">
        <v>36</v>
      </c>
      <c r="D60" t="s">
        <v>30</v>
      </c>
      <c r="E60" t="s">
        <v>22</v>
      </c>
      <c r="F60">
        <v>25</v>
      </c>
      <c r="G60">
        <v>180</v>
      </c>
      <c r="H60">
        <v>4500</v>
      </c>
    </row>
    <row r="61" spans="1:8" x14ac:dyDescent="0.25">
      <c r="A61">
        <v>60</v>
      </c>
      <c r="B61" t="s">
        <v>3</v>
      </c>
      <c r="C61" t="s">
        <v>36</v>
      </c>
      <c r="D61" t="s">
        <v>30</v>
      </c>
      <c r="E61" t="s">
        <v>22</v>
      </c>
      <c r="F61">
        <v>36</v>
      </c>
      <c r="G61">
        <v>180</v>
      </c>
      <c r="H61">
        <v>6480</v>
      </c>
    </row>
    <row r="62" spans="1:8" x14ac:dyDescent="0.25">
      <c r="A62">
        <v>61</v>
      </c>
      <c r="B62" t="s">
        <v>5</v>
      </c>
      <c r="C62" t="s">
        <v>36</v>
      </c>
      <c r="D62" t="s">
        <v>30</v>
      </c>
      <c r="E62" t="s">
        <v>22</v>
      </c>
      <c r="F62">
        <v>69</v>
      </c>
      <c r="G62">
        <v>180</v>
      </c>
      <c r="H62">
        <v>12420</v>
      </c>
    </row>
    <row r="63" spans="1:8" x14ac:dyDescent="0.25">
      <c r="A63">
        <v>62</v>
      </c>
      <c r="B63" t="s">
        <v>5</v>
      </c>
      <c r="C63" t="s">
        <v>36</v>
      </c>
      <c r="D63" t="s">
        <v>30</v>
      </c>
      <c r="E63" t="s">
        <v>22</v>
      </c>
      <c r="F63">
        <v>90</v>
      </c>
      <c r="G63">
        <v>180</v>
      </c>
      <c r="H63">
        <v>16200</v>
      </c>
    </row>
    <row r="64" spans="1:8" x14ac:dyDescent="0.25">
      <c r="A64">
        <v>63</v>
      </c>
      <c r="B64" t="s">
        <v>5</v>
      </c>
      <c r="C64" t="s">
        <v>36</v>
      </c>
      <c r="D64" t="s">
        <v>30</v>
      </c>
      <c r="E64" t="s">
        <v>18</v>
      </c>
      <c r="F64">
        <v>83</v>
      </c>
      <c r="G64">
        <v>50</v>
      </c>
      <c r="H64">
        <v>4150</v>
      </c>
    </row>
    <row r="65" spans="1:8" x14ac:dyDescent="0.25">
      <c r="A65">
        <v>64</v>
      </c>
      <c r="B65" t="s">
        <v>5</v>
      </c>
      <c r="C65" t="s">
        <v>36</v>
      </c>
      <c r="D65" t="s">
        <v>30</v>
      </c>
      <c r="E65" t="s">
        <v>19</v>
      </c>
      <c r="F65">
        <v>82</v>
      </c>
      <c r="G65">
        <v>108</v>
      </c>
      <c r="H65">
        <v>8856</v>
      </c>
    </row>
    <row r="66" spans="1:8" x14ac:dyDescent="0.25">
      <c r="A66">
        <v>65</v>
      </c>
      <c r="B66" t="s">
        <v>5</v>
      </c>
      <c r="C66" t="s">
        <v>36</v>
      </c>
      <c r="D66" t="s">
        <v>30</v>
      </c>
      <c r="E66" t="s">
        <v>19</v>
      </c>
      <c r="F66">
        <v>45</v>
      </c>
      <c r="G66">
        <v>108</v>
      </c>
      <c r="H66">
        <v>4860</v>
      </c>
    </row>
    <row r="67" spans="1:8" x14ac:dyDescent="0.25">
      <c r="A67">
        <v>66</v>
      </c>
      <c r="B67" t="s">
        <v>5</v>
      </c>
      <c r="C67" t="s">
        <v>36</v>
      </c>
      <c r="D67" t="s">
        <v>30</v>
      </c>
      <c r="E67" t="s">
        <v>19</v>
      </c>
      <c r="F67">
        <v>48</v>
      </c>
      <c r="G67">
        <v>108</v>
      </c>
      <c r="H67">
        <v>5184</v>
      </c>
    </row>
    <row r="68" spans="1:8" x14ac:dyDescent="0.25">
      <c r="A68">
        <v>67</v>
      </c>
      <c r="B68" t="s">
        <v>5</v>
      </c>
      <c r="C68" t="s">
        <v>36</v>
      </c>
      <c r="D68" t="s">
        <v>30</v>
      </c>
      <c r="E68" t="s">
        <v>19</v>
      </c>
      <c r="F68">
        <v>80</v>
      </c>
      <c r="G68">
        <v>108</v>
      </c>
      <c r="H68">
        <v>8640</v>
      </c>
    </row>
    <row r="69" spans="1:8" x14ac:dyDescent="0.25">
      <c r="A69">
        <v>68</v>
      </c>
      <c r="B69" t="s">
        <v>9</v>
      </c>
      <c r="C69" t="s">
        <v>36</v>
      </c>
      <c r="D69" t="s">
        <v>30</v>
      </c>
      <c r="E69" t="s">
        <v>20</v>
      </c>
      <c r="F69">
        <v>73</v>
      </c>
      <c r="G69">
        <v>125</v>
      </c>
      <c r="H69">
        <v>9125</v>
      </c>
    </row>
    <row r="70" spans="1:8" x14ac:dyDescent="0.25">
      <c r="A70">
        <v>69</v>
      </c>
      <c r="B70" t="s">
        <v>9</v>
      </c>
      <c r="C70" t="s">
        <v>36</v>
      </c>
      <c r="D70" t="s">
        <v>30</v>
      </c>
      <c r="E70" t="s">
        <v>20</v>
      </c>
      <c r="F70">
        <v>71</v>
      </c>
      <c r="G70">
        <v>125</v>
      </c>
      <c r="H70">
        <v>8875</v>
      </c>
    </row>
    <row r="71" spans="1:8" x14ac:dyDescent="0.25">
      <c r="A71">
        <v>70</v>
      </c>
      <c r="B71" t="s">
        <v>9</v>
      </c>
      <c r="C71" t="s">
        <v>36</v>
      </c>
      <c r="D71" t="s">
        <v>30</v>
      </c>
      <c r="E71" t="s">
        <v>20</v>
      </c>
      <c r="F71">
        <v>79</v>
      </c>
      <c r="G71">
        <v>125</v>
      </c>
      <c r="H71">
        <v>9875</v>
      </c>
    </row>
    <row r="72" spans="1:8" x14ac:dyDescent="0.25">
      <c r="A72">
        <v>71</v>
      </c>
      <c r="B72" t="s">
        <v>9</v>
      </c>
      <c r="C72" t="s">
        <v>36</v>
      </c>
      <c r="D72" t="s">
        <v>30</v>
      </c>
      <c r="E72" t="s">
        <v>20</v>
      </c>
      <c r="F72">
        <v>56</v>
      </c>
      <c r="G72">
        <v>125</v>
      </c>
      <c r="H72">
        <v>7000</v>
      </c>
    </row>
    <row r="73" spans="1:8" x14ac:dyDescent="0.25">
      <c r="A73">
        <v>72</v>
      </c>
      <c r="B73" t="s">
        <v>9</v>
      </c>
      <c r="C73" t="s">
        <v>36</v>
      </c>
      <c r="D73" t="s">
        <v>30</v>
      </c>
      <c r="E73" t="s">
        <v>16</v>
      </c>
      <c r="F73">
        <v>90</v>
      </c>
      <c r="G73">
        <v>350</v>
      </c>
      <c r="H73">
        <v>31500</v>
      </c>
    </row>
    <row r="74" spans="1:8" x14ac:dyDescent="0.25">
      <c r="A74">
        <v>73</v>
      </c>
      <c r="B74" t="s">
        <v>9</v>
      </c>
      <c r="C74" t="s">
        <v>36</v>
      </c>
      <c r="D74" t="s">
        <v>30</v>
      </c>
      <c r="E74" t="s">
        <v>15</v>
      </c>
      <c r="F74">
        <v>86</v>
      </c>
      <c r="G74">
        <v>150</v>
      </c>
      <c r="H74">
        <v>12900</v>
      </c>
    </row>
    <row r="75" spans="1:8" x14ac:dyDescent="0.25">
      <c r="A75">
        <v>74</v>
      </c>
      <c r="B75" t="s">
        <v>10</v>
      </c>
      <c r="C75" t="s">
        <v>36</v>
      </c>
      <c r="D75" t="s">
        <v>30</v>
      </c>
      <c r="E75" t="s">
        <v>15</v>
      </c>
      <c r="F75">
        <v>50</v>
      </c>
      <c r="G75">
        <v>150</v>
      </c>
      <c r="H75">
        <v>7500</v>
      </c>
    </row>
    <row r="76" spans="1:8" x14ac:dyDescent="0.25">
      <c r="A76">
        <v>75</v>
      </c>
      <c r="B76" t="s">
        <v>10</v>
      </c>
      <c r="C76" t="s">
        <v>37</v>
      </c>
      <c r="D76" t="s">
        <v>30</v>
      </c>
      <c r="E76" t="s">
        <v>18</v>
      </c>
      <c r="F76">
        <v>45</v>
      </c>
      <c r="G76">
        <v>50</v>
      </c>
      <c r="H76">
        <v>2250</v>
      </c>
    </row>
    <row r="77" spans="1:8" x14ac:dyDescent="0.25">
      <c r="A77">
        <v>76</v>
      </c>
      <c r="B77" t="s">
        <v>10</v>
      </c>
      <c r="C77" t="s">
        <v>37</v>
      </c>
      <c r="D77" t="s">
        <v>30</v>
      </c>
      <c r="E77" t="s">
        <v>17</v>
      </c>
      <c r="F77">
        <v>52</v>
      </c>
      <c r="G77">
        <v>112</v>
      </c>
      <c r="H77">
        <v>5824</v>
      </c>
    </row>
    <row r="78" spans="1:8" x14ac:dyDescent="0.25">
      <c r="A78">
        <v>77</v>
      </c>
      <c r="B78" t="s">
        <v>10</v>
      </c>
      <c r="C78" t="s">
        <v>37</v>
      </c>
      <c r="D78" t="s">
        <v>30</v>
      </c>
      <c r="E78" t="s">
        <v>17</v>
      </c>
      <c r="F78">
        <v>40</v>
      </c>
      <c r="G78">
        <v>112</v>
      </c>
      <c r="H78">
        <v>4480</v>
      </c>
    </row>
    <row r="79" spans="1:8" x14ac:dyDescent="0.25">
      <c r="A79">
        <v>78</v>
      </c>
      <c r="B79" t="s">
        <v>10</v>
      </c>
      <c r="C79" t="s">
        <v>37</v>
      </c>
      <c r="D79" t="s">
        <v>30</v>
      </c>
      <c r="E79" t="s">
        <v>18</v>
      </c>
      <c r="F79">
        <v>70</v>
      </c>
      <c r="G79">
        <v>50</v>
      </c>
      <c r="H79">
        <v>3500</v>
      </c>
    </row>
    <row r="80" spans="1:8" x14ac:dyDescent="0.25">
      <c r="A80">
        <v>79</v>
      </c>
      <c r="B80" t="s">
        <v>10</v>
      </c>
      <c r="C80" t="s">
        <v>37</v>
      </c>
      <c r="D80" t="s">
        <v>30</v>
      </c>
      <c r="E80" t="s">
        <v>15</v>
      </c>
      <c r="F80">
        <v>80</v>
      </c>
      <c r="G80">
        <v>150</v>
      </c>
      <c r="H80">
        <v>12000</v>
      </c>
    </row>
    <row r="81" spans="1:8" x14ac:dyDescent="0.25">
      <c r="A81">
        <v>80</v>
      </c>
      <c r="B81" t="s">
        <v>10</v>
      </c>
      <c r="C81" t="s">
        <v>37</v>
      </c>
      <c r="D81" t="s">
        <v>30</v>
      </c>
      <c r="E81" t="s">
        <v>21</v>
      </c>
      <c r="F81">
        <v>20</v>
      </c>
      <c r="G81">
        <v>450</v>
      </c>
      <c r="H81">
        <v>9000</v>
      </c>
    </row>
    <row r="82" spans="1:8" x14ac:dyDescent="0.25">
      <c r="A82">
        <v>81</v>
      </c>
      <c r="B82" t="s">
        <v>11</v>
      </c>
      <c r="C82" t="s">
        <v>37</v>
      </c>
      <c r="D82" t="s">
        <v>31</v>
      </c>
      <c r="E82" t="s">
        <v>21</v>
      </c>
      <c r="F82">
        <v>34</v>
      </c>
      <c r="G82">
        <v>450</v>
      </c>
      <c r="H82">
        <v>15300</v>
      </c>
    </row>
    <row r="83" spans="1:8" x14ac:dyDescent="0.25">
      <c r="A83">
        <v>82</v>
      </c>
      <c r="B83" t="s">
        <v>11</v>
      </c>
      <c r="C83" t="s">
        <v>37</v>
      </c>
      <c r="D83" t="s">
        <v>31</v>
      </c>
      <c r="E83" t="s">
        <v>21</v>
      </c>
      <c r="F83">
        <v>30</v>
      </c>
      <c r="G83">
        <v>450</v>
      </c>
      <c r="H83">
        <v>13500</v>
      </c>
    </row>
    <row r="84" spans="1:8" x14ac:dyDescent="0.25">
      <c r="A84">
        <v>83</v>
      </c>
      <c r="B84" t="s">
        <v>11</v>
      </c>
      <c r="C84" t="s">
        <v>37</v>
      </c>
      <c r="D84" t="s">
        <v>31</v>
      </c>
      <c r="E84" t="s">
        <v>16</v>
      </c>
      <c r="F84">
        <v>50</v>
      </c>
      <c r="G84">
        <v>350</v>
      </c>
      <c r="H84">
        <v>17500</v>
      </c>
    </row>
    <row r="85" spans="1:8" x14ac:dyDescent="0.25">
      <c r="A85">
        <v>84</v>
      </c>
      <c r="B85" t="s">
        <v>11</v>
      </c>
      <c r="C85" t="s">
        <v>37</v>
      </c>
      <c r="D85" t="s">
        <v>31</v>
      </c>
      <c r="E85" t="s">
        <v>15</v>
      </c>
      <c r="F85">
        <v>45</v>
      </c>
      <c r="G85">
        <v>150</v>
      </c>
      <c r="H85">
        <v>6750</v>
      </c>
    </row>
    <row r="86" spans="1:8" x14ac:dyDescent="0.25">
      <c r="A86">
        <v>85</v>
      </c>
      <c r="B86" t="s">
        <v>11</v>
      </c>
      <c r="C86" t="s">
        <v>37</v>
      </c>
      <c r="D86" t="s">
        <v>31</v>
      </c>
      <c r="E86" t="s">
        <v>15</v>
      </c>
      <c r="F86">
        <v>48</v>
      </c>
      <c r="G86">
        <v>150</v>
      </c>
      <c r="H86">
        <v>7200</v>
      </c>
    </row>
    <row r="87" spans="1:8" x14ac:dyDescent="0.25">
      <c r="A87">
        <v>86</v>
      </c>
      <c r="B87" t="s">
        <v>3</v>
      </c>
      <c r="C87" t="s">
        <v>37</v>
      </c>
      <c r="D87" t="s">
        <v>31</v>
      </c>
      <c r="E87" t="s">
        <v>15</v>
      </c>
      <c r="F87">
        <v>18</v>
      </c>
      <c r="G87">
        <v>150</v>
      </c>
      <c r="H87">
        <v>2700</v>
      </c>
    </row>
    <row r="88" spans="1:8" x14ac:dyDescent="0.25">
      <c r="A88">
        <v>87</v>
      </c>
      <c r="B88" t="s">
        <v>3</v>
      </c>
      <c r="C88" t="s">
        <v>37</v>
      </c>
      <c r="D88" t="s">
        <v>31</v>
      </c>
      <c r="E88" t="s">
        <v>20</v>
      </c>
      <c r="F88">
        <v>19</v>
      </c>
      <c r="G88">
        <v>125</v>
      </c>
      <c r="H88">
        <v>2375</v>
      </c>
    </row>
    <row r="89" spans="1:8" x14ac:dyDescent="0.25">
      <c r="A89">
        <v>88</v>
      </c>
      <c r="B89" t="s">
        <v>3</v>
      </c>
      <c r="C89" t="s">
        <v>37</v>
      </c>
      <c r="D89" t="s">
        <v>31</v>
      </c>
      <c r="E89" t="s">
        <v>20</v>
      </c>
      <c r="F89">
        <v>6</v>
      </c>
      <c r="G89">
        <v>125</v>
      </c>
      <c r="H89">
        <v>750</v>
      </c>
    </row>
    <row r="90" spans="1:8" x14ac:dyDescent="0.25">
      <c r="A90">
        <v>89</v>
      </c>
      <c r="B90" t="s">
        <v>3</v>
      </c>
      <c r="C90" t="s">
        <v>37</v>
      </c>
      <c r="D90" t="s">
        <v>31</v>
      </c>
      <c r="E90" t="s">
        <v>20</v>
      </c>
      <c r="F90">
        <v>40</v>
      </c>
      <c r="G90">
        <v>125</v>
      </c>
      <c r="H90">
        <v>5000</v>
      </c>
    </row>
    <row r="91" spans="1:8" x14ac:dyDescent="0.25">
      <c r="A91">
        <v>90</v>
      </c>
      <c r="B91" t="s">
        <v>3</v>
      </c>
      <c r="C91" t="s">
        <v>35</v>
      </c>
      <c r="D91" t="s">
        <v>31</v>
      </c>
      <c r="E91" t="s">
        <v>20</v>
      </c>
      <c r="F91">
        <v>80</v>
      </c>
      <c r="G91">
        <v>125</v>
      </c>
      <c r="H91">
        <v>10000</v>
      </c>
    </row>
    <row r="92" spans="1:8" x14ac:dyDescent="0.25">
      <c r="A92">
        <v>91</v>
      </c>
      <c r="B92" t="s">
        <v>12</v>
      </c>
      <c r="C92" t="s">
        <v>35</v>
      </c>
      <c r="D92" t="s">
        <v>31</v>
      </c>
      <c r="E92" t="s">
        <v>19</v>
      </c>
      <c r="F92">
        <v>91</v>
      </c>
      <c r="G92">
        <v>108</v>
      </c>
      <c r="H92">
        <v>9828</v>
      </c>
    </row>
    <row r="93" spans="1:8" x14ac:dyDescent="0.25">
      <c r="A93">
        <v>92</v>
      </c>
      <c r="B93" t="s">
        <v>12</v>
      </c>
      <c r="C93" t="s">
        <v>35</v>
      </c>
      <c r="D93" t="s">
        <v>31</v>
      </c>
      <c r="E93" t="s">
        <v>19</v>
      </c>
      <c r="F93">
        <v>74</v>
      </c>
      <c r="G93">
        <v>108</v>
      </c>
      <c r="H93">
        <v>7992</v>
      </c>
    </row>
    <row r="94" spans="1:8" x14ac:dyDescent="0.25">
      <c r="A94">
        <v>93</v>
      </c>
      <c r="B94" t="s">
        <v>12</v>
      </c>
      <c r="C94" t="s">
        <v>35</v>
      </c>
      <c r="D94" t="s">
        <v>31</v>
      </c>
      <c r="E94" t="s">
        <v>19</v>
      </c>
      <c r="F94">
        <v>62</v>
      </c>
      <c r="G94">
        <v>108</v>
      </c>
      <c r="H94">
        <v>6696</v>
      </c>
    </row>
    <row r="95" spans="1:8" x14ac:dyDescent="0.25">
      <c r="A95">
        <v>94</v>
      </c>
      <c r="B95" t="s">
        <v>12</v>
      </c>
      <c r="C95" t="s">
        <v>35</v>
      </c>
      <c r="D95" t="s">
        <v>31</v>
      </c>
      <c r="E95" t="s">
        <v>17</v>
      </c>
      <c r="F95">
        <v>50</v>
      </c>
      <c r="G95">
        <v>112</v>
      </c>
      <c r="H95">
        <v>5600</v>
      </c>
    </row>
    <row r="96" spans="1:8" x14ac:dyDescent="0.25">
      <c r="A96">
        <v>95</v>
      </c>
      <c r="B96" t="s">
        <v>12</v>
      </c>
      <c r="C96" t="s">
        <v>35</v>
      </c>
      <c r="D96" t="s">
        <v>31</v>
      </c>
      <c r="E96" t="s">
        <v>17</v>
      </c>
      <c r="F96">
        <v>36</v>
      </c>
      <c r="G96">
        <v>112</v>
      </c>
      <c r="H96">
        <v>4032</v>
      </c>
    </row>
    <row r="97" spans="1:8" x14ac:dyDescent="0.25">
      <c r="A97">
        <v>96</v>
      </c>
      <c r="B97" t="s">
        <v>12</v>
      </c>
      <c r="C97" t="s">
        <v>35</v>
      </c>
      <c r="D97" t="s">
        <v>31</v>
      </c>
      <c r="E97" t="s">
        <v>17</v>
      </c>
      <c r="F97">
        <v>90</v>
      </c>
      <c r="G97">
        <v>112</v>
      </c>
      <c r="H97">
        <v>10080</v>
      </c>
    </row>
    <row r="98" spans="1:8" x14ac:dyDescent="0.25">
      <c r="A98">
        <v>97</v>
      </c>
      <c r="B98" t="s">
        <v>12</v>
      </c>
      <c r="C98" t="s">
        <v>35</v>
      </c>
      <c r="D98" t="s">
        <v>31</v>
      </c>
      <c r="E98" t="s">
        <v>17</v>
      </c>
      <c r="F98">
        <v>48</v>
      </c>
      <c r="G98">
        <v>112</v>
      </c>
      <c r="H98">
        <v>5376</v>
      </c>
    </row>
    <row r="99" spans="1:8" x14ac:dyDescent="0.25">
      <c r="A99">
        <v>98</v>
      </c>
      <c r="B99" t="s">
        <v>12</v>
      </c>
      <c r="C99" t="s">
        <v>35</v>
      </c>
      <c r="D99" t="s">
        <v>31</v>
      </c>
      <c r="E99" t="s">
        <v>21</v>
      </c>
      <c r="F99">
        <v>74</v>
      </c>
      <c r="G99">
        <v>450</v>
      </c>
      <c r="H99">
        <v>33300</v>
      </c>
    </row>
    <row r="100" spans="1:8" x14ac:dyDescent="0.25">
      <c r="A100">
        <v>99</v>
      </c>
      <c r="B100" t="s">
        <v>13</v>
      </c>
      <c r="C100" t="s">
        <v>35</v>
      </c>
      <c r="D100" t="s">
        <v>31</v>
      </c>
      <c r="E100" t="s">
        <v>21</v>
      </c>
      <c r="F100">
        <v>36</v>
      </c>
      <c r="G100">
        <v>450</v>
      </c>
      <c r="H100">
        <v>16200</v>
      </c>
    </row>
    <row r="101" spans="1:8" x14ac:dyDescent="0.25">
      <c r="A101">
        <v>100</v>
      </c>
      <c r="B101" t="s">
        <v>13</v>
      </c>
      <c r="C101" t="s">
        <v>35</v>
      </c>
      <c r="D101" t="s">
        <v>31</v>
      </c>
      <c r="E101" t="s">
        <v>21</v>
      </c>
      <c r="F101">
        <v>32</v>
      </c>
      <c r="G101">
        <v>450</v>
      </c>
      <c r="H101">
        <v>14400</v>
      </c>
    </row>
    <row r="102" spans="1:8" x14ac:dyDescent="0.25">
      <c r="A102">
        <v>101</v>
      </c>
      <c r="B102" t="s">
        <v>13</v>
      </c>
      <c r="C102" t="s">
        <v>35</v>
      </c>
      <c r="D102" t="s">
        <v>31</v>
      </c>
      <c r="E102" t="s">
        <v>22</v>
      </c>
      <c r="F102">
        <v>90</v>
      </c>
      <c r="G102">
        <v>180</v>
      </c>
      <c r="H102">
        <v>16200</v>
      </c>
    </row>
    <row r="103" spans="1:8" x14ac:dyDescent="0.25">
      <c r="A103">
        <v>102</v>
      </c>
      <c r="B103" t="s">
        <v>13</v>
      </c>
      <c r="C103" t="s">
        <v>36</v>
      </c>
      <c r="D103" t="s">
        <v>31</v>
      </c>
      <c r="E103" t="s">
        <v>22</v>
      </c>
      <c r="F103">
        <v>80</v>
      </c>
      <c r="G103">
        <v>180</v>
      </c>
      <c r="H103">
        <v>14400</v>
      </c>
    </row>
    <row r="104" spans="1:8" x14ac:dyDescent="0.25">
      <c r="A104">
        <v>103</v>
      </c>
      <c r="B104" t="s">
        <v>13</v>
      </c>
      <c r="C104" t="s">
        <v>36</v>
      </c>
      <c r="D104" t="s">
        <v>31</v>
      </c>
      <c r="E104" t="s">
        <v>18</v>
      </c>
      <c r="F104">
        <v>21</v>
      </c>
      <c r="G104">
        <v>50</v>
      </c>
      <c r="H104">
        <v>1050</v>
      </c>
    </row>
    <row r="105" spans="1:8" x14ac:dyDescent="0.25">
      <c r="A105">
        <v>104</v>
      </c>
      <c r="B105" t="s">
        <v>13</v>
      </c>
      <c r="C105" t="s">
        <v>36</v>
      </c>
      <c r="D105" t="s">
        <v>31</v>
      </c>
      <c r="E105" t="s">
        <v>18</v>
      </c>
      <c r="F105">
        <v>12</v>
      </c>
      <c r="G105">
        <v>50</v>
      </c>
      <c r="H105">
        <v>600</v>
      </c>
    </row>
    <row r="106" spans="1:8" x14ac:dyDescent="0.25">
      <c r="A106">
        <v>105</v>
      </c>
      <c r="B106" t="s">
        <v>13</v>
      </c>
      <c r="C106" t="s">
        <v>36</v>
      </c>
      <c r="D106" t="s">
        <v>31</v>
      </c>
      <c r="E106" t="s">
        <v>15</v>
      </c>
      <c r="F106">
        <v>45</v>
      </c>
      <c r="G106">
        <v>150</v>
      </c>
      <c r="H106">
        <v>6750</v>
      </c>
    </row>
    <row r="107" spans="1:8" x14ac:dyDescent="0.25">
      <c r="A107">
        <v>106</v>
      </c>
      <c r="B107" t="s">
        <v>13</v>
      </c>
      <c r="C107" t="s">
        <v>36</v>
      </c>
      <c r="D107" t="s">
        <v>31</v>
      </c>
      <c r="E107" t="s">
        <v>15</v>
      </c>
      <c r="F107">
        <v>72</v>
      </c>
      <c r="G107">
        <v>150</v>
      </c>
      <c r="H107">
        <v>10800</v>
      </c>
    </row>
    <row r="108" spans="1:8" x14ac:dyDescent="0.25">
      <c r="A108">
        <v>107</v>
      </c>
      <c r="B108" t="s">
        <v>13</v>
      </c>
      <c r="C108" t="s">
        <v>36</v>
      </c>
      <c r="D108" t="s">
        <v>31</v>
      </c>
      <c r="E108" t="s">
        <v>15</v>
      </c>
      <c r="F108">
        <v>63</v>
      </c>
      <c r="G108">
        <v>150</v>
      </c>
      <c r="H108">
        <v>9450</v>
      </c>
    </row>
    <row r="109" spans="1:8" x14ac:dyDescent="0.25">
      <c r="A109">
        <v>108</v>
      </c>
      <c r="B109" t="s">
        <v>14</v>
      </c>
      <c r="C109" t="s">
        <v>37</v>
      </c>
      <c r="D109" t="s">
        <v>31</v>
      </c>
      <c r="E109" t="s">
        <v>16</v>
      </c>
      <c r="F109">
        <v>56</v>
      </c>
      <c r="G109">
        <v>350</v>
      </c>
      <c r="H109">
        <v>19600</v>
      </c>
    </row>
    <row r="110" spans="1:8" x14ac:dyDescent="0.25">
      <c r="A110">
        <v>109</v>
      </c>
      <c r="B110" t="s">
        <v>14</v>
      </c>
      <c r="C110" t="s">
        <v>37</v>
      </c>
      <c r="D110" t="s">
        <v>31</v>
      </c>
      <c r="E110" t="s">
        <v>16</v>
      </c>
      <c r="F110">
        <v>85</v>
      </c>
      <c r="G110">
        <v>350</v>
      </c>
      <c r="H110">
        <v>29750</v>
      </c>
    </row>
    <row r="111" spans="1:8" x14ac:dyDescent="0.25">
      <c r="A111">
        <v>110</v>
      </c>
      <c r="B111" t="s">
        <v>14</v>
      </c>
      <c r="C111" t="s">
        <v>37</v>
      </c>
      <c r="D111" t="s">
        <v>31</v>
      </c>
      <c r="E111" t="s">
        <v>16</v>
      </c>
      <c r="F111">
        <v>45</v>
      </c>
      <c r="G111">
        <v>350</v>
      </c>
      <c r="H111">
        <v>15750</v>
      </c>
    </row>
    <row r="112" spans="1:8" x14ac:dyDescent="0.25">
      <c r="A112">
        <v>111</v>
      </c>
      <c r="B112" t="s">
        <v>14</v>
      </c>
      <c r="C112" t="s">
        <v>37</v>
      </c>
      <c r="D112" t="s">
        <v>31</v>
      </c>
      <c r="E112" t="s">
        <v>20</v>
      </c>
      <c r="F112">
        <v>75</v>
      </c>
      <c r="G112">
        <v>125</v>
      </c>
      <c r="H112">
        <v>9375</v>
      </c>
    </row>
    <row r="113" spans="1:8" x14ac:dyDescent="0.25">
      <c r="A113">
        <v>112</v>
      </c>
      <c r="B113" t="s">
        <v>14</v>
      </c>
      <c r="C113" t="s">
        <v>37</v>
      </c>
      <c r="D113" t="s">
        <v>31</v>
      </c>
      <c r="E113" t="s">
        <v>20</v>
      </c>
      <c r="F113">
        <v>53</v>
      </c>
      <c r="G113">
        <v>125</v>
      </c>
      <c r="H113">
        <v>6625</v>
      </c>
    </row>
    <row r="114" spans="1:8" x14ac:dyDescent="0.25">
      <c r="A114">
        <v>113</v>
      </c>
      <c r="B114" t="s">
        <v>4</v>
      </c>
      <c r="C114" t="s">
        <v>37</v>
      </c>
      <c r="D114" t="s">
        <v>31</v>
      </c>
      <c r="E114" t="s">
        <v>20</v>
      </c>
      <c r="F114">
        <v>35</v>
      </c>
      <c r="G114">
        <v>125</v>
      </c>
      <c r="H114">
        <v>4375</v>
      </c>
    </row>
    <row r="115" spans="1:8" x14ac:dyDescent="0.25">
      <c r="A115">
        <v>114</v>
      </c>
      <c r="B115" t="s">
        <v>4</v>
      </c>
      <c r="C115" t="s">
        <v>37</v>
      </c>
      <c r="D115" t="s">
        <v>31</v>
      </c>
      <c r="E115" t="s">
        <v>18</v>
      </c>
      <c r="F115">
        <v>59</v>
      </c>
      <c r="G115">
        <v>50</v>
      </c>
      <c r="H115">
        <v>2950</v>
      </c>
    </row>
    <row r="116" spans="1:8" x14ac:dyDescent="0.25">
      <c r="A116">
        <v>115</v>
      </c>
      <c r="B116" t="s">
        <v>4</v>
      </c>
      <c r="C116" t="s">
        <v>37</v>
      </c>
      <c r="D116" t="s">
        <v>31</v>
      </c>
      <c r="E116" t="s">
        <v>18</v>
      </c>
      <c r="F116">
        <v>51</v>
      </c>
      <c r="G116">
        <v>50</v>
      </c>
      <c r="H116">
        <v>2550</v>
      </c>
    </row>
    <row r="117" spans="1:8" x14ac:dyDescent="0.25">
      <c r="A117">
        <v>116</v>
      </c>
      <c r="B117" t="s">
        <v>4</v>
      </c>
      <c r="C117" t="s">
        <v>35</v>
      </c>
      <c r="D117" t="s">
        <v>31</v>
      </c>
      <c r="E117" t="s">
        <v>17</v>
      </c>
      <c r="F117">
        <v>54</v>
      </c>
      <c r="G117">
        <v>112</v>
      </c>
      <c r="H117">
        <v>6048</v>
      </c>
    </row>
    <row r="118" spans="1:8" x14ac:dyDescent="0.25">
      <c r="A118">
        <v>117</v>
      </c>
      <c r="B118" t="s">
        <v>4</v>
      </c>
      <c r="C118" t="s">
        <v>35</v>
      </c>
      <c r="D118" t="s">
        <v>31</v>
      </c>
      <c r="E118" t="s">
        <v>17</v>
      </c>
      <c r="F118">
        <v>56</v>
      </c>
      <c r="G118">
        <v>112</v>
      </c>
      <c r="H118">
        <v>6272</v>
      </c>
    </row>
    <row r="119" spans="1:8" x14ac:dyDescent="0.25">
      <c r="A119">
        <v>118</v>
      </c>
      <c r="B119" t="s">
        <v>4</v>
      </c>
      <c r="C119" t="s">
        <v>35</v>
      </c>
      <c r="D119" t="s">
        <v>31</v>
      </c>
      <c r="E119" t="s">
        <v>21</v>
      </c>
      <c r="F119">
        <v>45</v>
      </c>
      <c r="G119">
        <v>450</v>
      </c>
      <c r="H119">
        <v>20250</v>
      </c>
    </row>
    <row r="120" spans="1:8" x14ac:dyDescent="0.25">
      <c r="A120">
        <v>119</v>
      </c>
      <c r="B120" t="s">
        <v>4</v>
      </c>
      <c r="C120" t="s">
        <v>35</v>
      </c>
      <c r="D120" t="s">
        <v>31</v>
      </c>
      <c r="E120" t="s">
        <v>21</v>
      </c>
      <c r="F120">
        <v>12</v>
      </c>
      <c r="G120">
        <v>450</v>
      </c>
      <c r="H120">
        <v>5400</v>
      </c>
    </row>
    <row r="121" spans="1:8" x14ac:dyDescent="0.25">
      <c r="A121">
        <v>120</v>
      </c>
      <c r="B121" t="s">
        <v>4</v>
      </c>
      <c r="C121" t="s">
        <v>35</v>
      </c>
      <c r="D121" t="s">
        <v>31</v>
      </c>
      <c r="E121" t="s">
        <v>21</v>
      </c>
      <c r="F121">
        <v>17</v>
      </c>
      <c r="G121">
        <v>450</v>
      </c>
      <c r="H121">
        <v>7650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3"/>
  <sheetViews>
    <sheetView workbookViewId="0">
      <selection activeCell="A33" sqref="A33"/>
    </sheetView>
  </sheetViews>
  <sheetFormatPr defaultRowHeight="15" x14ac:dyDescent="0.25"/>
  <cols>
    <col min="1" max="1" width="11.28515625" customWidth="1"/>
    <col min="2" max="2" width="10.7109375" customWidth="1"/>
  </cols>
  <sheetData>
    <row r="3" spans="1:2" x14ac:dyDescent="0.25">
      <c r="A3" s="3" t="s">
        <v>23</v>
      </c>
      <c r="B3" t="s">
        <v>33</v>
      </c>
    </row>
    <row r="4" spans="1:2" x14ac:dyDescent="0.25">
      <c r="A4" s="2" t="s">
        <v>25</v>
      </c>
      <c r="B4" s="4">
        <v>17250</v>
      </c>
    </row>
    <row r="5" spans="1:2" x14ac:dyDescent="0.25">
      <c r="A5" s="2" t="s">
        <v>30</v>
      </c>
      <c r="B5" s="4">
        <v>51750</v>
      </c>
    </row>
    <row r="6" spans="1:2" x14ac:dyDescent="0.25">
      <c r="A6" s="2" t="s">
        <v>31</v>
      </c>
      <c r="B6" s="4">
        <v>43650</v>
      </c>
    </row>
    <row r="7" spans="1:2" x14ac:dyDescent="0.25">
      <c r="A7" s="2" t="s">
        <v>32</v>
      </c>
      <c r="B7" s="4">
        <v>23250</v>
      </c>
    </row>
    <row r="8" spans="1:2" x14ac:dyDescent="0.25">
      <c r="A8" s="2" t="s">
        <v>24</v>
      </c>
      <c r="B8" s="4">
        <v>135900</v>
      </c>
    </row>
    <row r="11" spans="1:2" x14ac:dyDescent="0.25">
      <c r="A11" s="3" t="s">
        <v>23</v>
      </c>
      <c r="B11" t="s">
        <v>33</v>
      </c>
    </row>
    <row r="12" spans="1:2" x14ac:dyDescent="0.25">
      <c r="A12" s="2" t="s">
        <v>36</v>
      </c>
      <c r="B12" s="4">
        <v>47400</v>
      </c>
    </row>
    <row r="13" spans="1:2" x14ac:dyDescent="0.25">
      <c r="A13" s="2" t="s">
        <v>37</v>
      </c>
      <c r="B13" s="4">
        <v>48000</v>
      </c>
    </row>
    <row r="14" spans="1:2" x14ac:dyDescent="0.25">
      <c r="A14" s="2" t="s">
        <v>35</v>
      </c>
      <c r="B14" s="4">
        <v>40500</v>
      </c>
    </row>
    <row r="15" spans="1:2" x14ac:dyDescent="0.25">
      <c r="A15" s="2" t="s">
        <v>24</v>
      </c>
      <c r="B15" s="4">
        <v>135900</v>
      </c>
    </row>
    <row r="19" spans="1:2" x14ac:dyDescent="0.25">
      <c r="A19" s="3" t="s">
        <v>23</v>
      </c>
      <c r="B19" t="s">
        <v>38</v>
      </c>
    </row>
    <row r="20" spans="1:2" x14ac:dyDescent="0.25">
      <c r="A20" s="2" t="s">
        <v>15</v>
      </c>
      <c r="B20" s="4">
        <v>906</v>
      </c>
    </row>
    <row r="21" spans="1:2" x14ac:dyDescent="0.25">
      <c r="A21" s="2" t="s">
        <v>24</v>
      </c>
      <c r="B21" s="4">
        <v>906</v>
      </c>
    </row>
    <row r="30" spans="1:2" x14ac:dyDescent="0.25">
      <c r="A30" t="s">
        <v>33</v>
      </c>
    </row>
    <row r="31" spans="1:2" x14ac:dyDescent="0.25">
      <c r="A31" s="4">
        <v>135900</v>
      </c>
      <c r="B31" s="6"/>
    </row>
    <row r="33" spans="1:1" x14ac:dyDescent="0.25">
      <c r="A33" s="7">
        <f>GETPIVOTDATA("Amt",$A$30)</f>
        <v>135900</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
  <sheetViews>
    <sheetView workbookViewId="0">
      <selection sqref="A1:H121"/>
    </sheetView>
  </sheetViews>
  <sheetFormatPr defaultRowHeight="15" x14ac:dyDescent="0.25"/>
  <cols>
    <col min="2" max="2" width="21.42578125" bestFit="1" customWidth="1"/>
  </cols>
  <sheetData>
    <row r="1" spans="1:8" ht="15.75" x14ac:dyDescent="0.25">
      <c r="A1" s="5" t="s">
        <v>26</v>
      </c>
      <c r="B1" s="5" t="s">
        <v>27</v>
      </c>
      <c r="C1" s="5" t="s">
        <v>34</v>
      </c>
      <c r="D1" s="5" t="s">
        <v>0</v>
      </c>
      <c r="E1" s="5" t="s">
        <v>1</v>
      </c>
      <c r="F1" s="5" t="s">
        <v>2</v>
      </c>
      <c r="G1" s="5" t="s">
        <v>28</v>
      </c>
      <c r="H1" s="5" t="s">
        <v>29</v>
      </c>
    </row>
    <row r="2" spans="1:8" x14ac:dyDescent="0.25">
      <c r="A2">
        <v>1</v>
      </c>
      <c r="B2" s="2" t="s">
        <v>3</v>
      </c>
      <c r="C2" t="s">
        <v>35</v>
      </c>
      <c r="D2" s="1" t="s">
        <v>25</v>
      </c>
      <c r="E2" t="s">
        <v>15</v>
      </c>
      <c r="F2">
        <v>15</v>
      </c>
      <c r="G2">
        <v>150</v>
      </c>
      <c r="H2">
        <f>F2*G2</f>
        <v>2250</v>
      </c>
    </row>
    <row r="3" spans="1:8" x14ac:dyDescent="0.25">
      <c r="A3">
        <v>2</v>
      </c>
      <c r="B3" s="2" t="s">
        <v>3</v>
      </c>
      <c r="C3" t="s">
        <v>35</v>
      </c>
      <c r="D3" s="1" t="s">
        <v>25</v>
      </c>
      <c r="E3" t="s">
        <v>16</v>
      </c>
      <c r="F3">
        <v>56</v>
      </c>
      <c r="G3">
        <v>350</v>
      </c>
      <c r="H3">
        <f t="shared" ref="H3:H66" si="0">F3*G3</f>
        <v>19600</v>
      </c>
    </row>
    <row r="4" spans="1:8" x14ac:dyDescent="0.25">
      <c r="A4">
        <v>3</v>
      </c>
      <c r="B4" s="2" t="s">
        <v>3</v>
      </c>
      <c r="C4" t="s">
        <v>35</v>
      </c>
      <c r="D4" s="1" t="s">
        <v>25</v>
      </c>
      <c r="E4" t="s">
        <v>18</v>
      </c>
      <c r="F4">
        <v>58</v>
      </c>
      <c r="G4">
        <v>50</v>
      </c>
      <c r="H4">
        <f t="shared" si="0"/>
        <v>2900</v>
      </c>
    </row>
    <row r="5" spans="1:8" x14ac:dyDescent="0.25">
      <c r="A5">
        <v>4</v>
      </c>
      <c r="B5" s="2" t="s">
        <v>3</v>
      </c>
      <c r="C5" t="s">
        <v>35</v>
      </c>
      <c r="D5" s="1" t="s">
        <v>25</v>
      </c>
      <c r="E5" t="s">
        <v>17</v>
      </c>
      <c r="F5">
        <v>96</v>
      </c>
      <c r="G5">
        <v>112</v>
      </c>
      <c r="H5">
        <f t="shared" si="0"/>
        <v>10752</v>
      </c>
    </row>
    <row r="6" spans="1:8" x14ac:dyDescent="0.25">
      <c r="A6">
        <v>5</v>
      </c>
      <c r="B6" s="2" t="s">
        <v>4</v>
      </c>
      <c r="C6" t="s">
        <v>35</v>
      </c>
      <c r="D6" s="1" t="s">
        <v>25</v>
      </c>
      <c r="E6" t="s">
        <v>19</v>
      </c>
      <c r="F6">
        <v>76</v>
      </c>
      <c r="G6">
        <v>108</v>
      </c>
      <c r="H6">
        <f t="shared" si="0"/>
        <v>8208</v>
      </c>
    </row>
    <row r="7" spans="1:8" x14ac:dyDescent="0.25">
      <c r="A7">
        <v>6</v>
      </c>
      <c r="B7" s="2" t="s">
        <v>4</v>
      </c>
      <c r="C7" t="s">
        <v>35</v>
      </c>
      <c r="D7" s="1" t="s">
        <v>25</v>
      </c>
      <c r="E7" t="s">
        <v>20</v>
      </c>
      <c r="F7">
        <v>23</v>
      </c>
      <c r="G7">
        <v>125</v>
      </c>
      <c r="H7">
        <f t="shared" si="0"/>
        <v>2875</v>
      </c>
    </row>
    <row r="8" spans="1:8" x14ac:dyDescent="0.25">
      <c r="A8">
        <v>7</v>
      </c>
      <c r="B8" s="2" t="s">
        <v>4</v>
      </c>
      <c r="C8" t="s">
        <v>35</v>
      </c>
      <c r="D8" s="1" t="s">
        <v>25</v>
      </c>
      <c r="E8" t="s">
        <v>15</v>
      </c>
      <c r="F8">
        <v>35</v>
      </c>
      <c r="G8">
        <v>150</v>
      </c>
      <c r="H8">
        <f t="shared" si="0"/>
        <v>5250</v>
      </c>
    </row>
    <row r="9" spans="1:8" x14ac:dyDescent="0.25">
      <c r="A9">
        <v>8</v>
      </c>
      <c r="B9" s="2" t="s">
        <v>3</v>
      </c>
      <c r="C9" t="s">
        <v>35</v>
      </c>
      <c r="D9" s="1" t="s">
        <v>25</v>
      </c>
      <c r="E9" t="s">
        <v>15</v>
      </c>
      <c r="F9">
        <v>65</v>
      </c>
      <c r="G9">
        <v>150</v>
      </c>
      <c r="H9">
        <f t="shared" si="0"/>
        <v>9750</v>
      </c>
    </row>
    <row r="10" spans="1:8" x14ac:dyDescent="0.25">
      <c r="A10">
        <v>9</v>
      </c>
      <c r="B10" s="2" t="s">
        <v>5</v>
      </c>
      <c r="C10" t="s">
        <v>35</v>
      </c>
      <c r="D10" s="1" t="s">
        <v>25</v>
      </c>
      <c r="E10" t="s">
        <v>16</v>
      </c>
      <c r="F10">
        <v>14</v>
      </c>
      <c r="G10">
        <v>350</v>
      </c>
      <c r="H10">
        <f t="shared" si="0"/>
        <v>4900</v>
      </c>
    </row>
    <row r="11" spans="1:8" x14ac:dyDescent="0.25">
      <c r="A11">
        <v>10</v>
      </c>
      <c r="B11" s="2" t="s">
        <v>5</v>
      </c>
      <c r="C11" t="s">
        <v>36</v>
      </c>
      <c r="D11" s="1" t="s">
        <v>25</v>
      </c>
      <c r="E11" t="s">
        <v>16</v>
      </c>
      <c r="F11">
        <v>125</v>
      </c>
      <c r="G11">
        <v>350</v>
      </c>
      <c r="H11">
        <f t="shared" si="0"/>
        <v>43750</v>
      </c>
    </row>
    <row r="12" spans="1:8" x14ac:dyDescent="0.25">
      <c r="A12">
        <v>11</v>
      </c>
      <c r="B12" s="2" t="s">
        <v>5</v>
      </c>
      <c r="C12" t="s">
        <v>36</v>
      </c>
      <c r="D12" s="1" t="s">
        <v>25</v>
      </c>
      <c r="E12" t="s">
        <v>17</v>
      </c>
      <c r="F12">
        <v>36</v>
      </c>
      <c r="G12">
        <v>112</v>
      </c>
      <c r="H12">
        <f t="shared" si="0"/>
        <v>4032</v>
      </c>
    </row>
    <row r="13" spans="1:8" x14ac:dyDescent="0.25">
      <c r="A13">
        <v>12</v>
      </c>
      <c r="B13" s="2" t="s">
        <v>5</v>
      </c>
      <c r="C13" t="s">
        <v>36</v>
      </c>
      <c r="D13" s="1" t="s">
        <v>25</v>
      </c>
      <c r="E13" t="s">
        <v>18</v>
      </c>
      <c r="F13">
        <v>35</v>
      </c>
      <c r="G13">
        <v>50</v>
      </c>
      <c r="H13">
        <f t="shared" si="0"/>
        <v>1750</v>
      </c>
    </row>
    <row r="14" spans="1:8" x14ac:dyDescent="0.25">
      <c r="A14">
        <v>13</v>
      </c>
      <c r="B14" s="2" t="s">
        <v>5</v>
      </c>
      <c r="C14" t="s">
        <v>36</v>
      </c>
      <c r="D14" s="1" t="s">
        <v>25</v>
      </c>
      <c r="E14" t="s">
        <v>17</v>
      </c>
      <c r="F14">
        <v>25</v>
      </c>
      <c r="G14">
        <v>112</v>
      </c>
      <c r="H14">
        <f t="shared" si="0"/>
        <v>2800</v>
      </c>
    </row>
    <row r="15" spans="1:8" x14ac:dyDescent="0.25">
      <c r="A15">
        <v>14</v>
      </c>
      <c r="B15" s="2" t="s">
        <v>5</v>
      </c>
      <c r="C15" t="s">
        <v>36</v>
      </c>
      <c r="D15" s="1" t="s">
        <v>25</v>
      </c>
      <c r="E15" t="s">
        <v>18</v>
      </c>
      <c r="F15">
        <v>15</v>
      </c>
      <c r="G15">
        <v>50</v>
      </c>
      <c r="H15">
        <f t="shared" si="0"/>
        <v>750</v>
      </c>
    </row>
    <row r="16" spans="1:8" x14ac:dyDescent="0.25">
      <c r="A16">
        <v>15</v>
      </c>
      <c r="B16" s="2" t="s">
        <v>5</v>
      </c>
      <c r="C16" t="s">
        <v>36</v>
      </c>
      <c r="D16" s="1" t="s">
        <v>25</v>
      </c>
      <c r="E16" t="s">
        <v>18</v>
      </c>
      <c r="F16">
        <v>78</v>
      </c>
      <c r="G16">
        <v>50</v>
      </c>
      <c r="H16">
        <f t="shared" si="0"/>
        <v>3900</v>
      </c>
    </row>
    <row r="17" spans="1:8" x14ac:dyDescent="0.25">
      <c r="A17">
        <v>16</v>
      </c>
      <c r="B17" s="2" t="s">
        <v>5</v>
      </c>
      <c r="C17" t="s">
        <v>36</v>
      </c>
      <c r="D17" s="1" t="s">
        <v>32</v>
      </c>
      <c r="E17" t="s">
        <v>17</v>
      </c>
      <c r="F17">
        <v>87</v>
      </c>
      <c r="G17">
        <v>112</v>
      </c>
      <c r="H17">
        <f t="shared" si="0"/>
        <v>9744</v>
      </c>
    </row>
    <row r="18" spans="1:8" x14ac:dyDescent="0.25">
      <c r="A18">
        <v>17</v>
      </c>
      <c r="B18" s="2" t="s">
        <v>5</v>
      </c>
      <c r="C18" t="s">
        <v>36</v>
      </c>
      <c r="D18" s="1" t="s">
        <v>32</v>
      </c>
      <c r="E18" t="s">
        <v>19</v>
      </c>
      <c r="F18">
        <v>45</v>
      </c>
      <c r="G18">
        <v>108</v>
      </c>
      <c r="H18">
        <f t="shared" si="0"/>
        <v>4860</v>
      </c>
    </row>
    <row r="19" spans="1:8" x14ac:dyDescent="0.25">
      <c r="A19">
        <v>18</v>
      </c>
      <c r="B19" s="2" t="s">
        <v>3</v>
      </c>
      <c r="C19" t="s">
        <v>36</v>
      </c>
      <c r="D19" s="1" t="s">
        <v>32</v>
      </c>
      <c r="E19" t="s">
        <v>19</v>
      </c>
      <c r="F19">
        <v>41</v>
      </c>
      <c r="G19">
        <v>108</v>
      </c>
      <c r="H19">
        <f t="shared" si="0"/>
        <v>4428</v>
      </c>
    </row>
    <row r="20" spans="1:8" x14ac:dyDescent="0.25">
      <c r="A20">
        <v>19</v>
      </c>
      <c r="B20" s="2" t="s">
        <v>3</v>
      </c>
      <c r="C20" t="s">
        <v>36</v>
      </c>
      <c r="D20" s="1" t="s">
        <v>32</v>
      </c>
      <c r="E20" t="s">
        <v>21</v>
      </c>
      <c r="F20">
        <v>25</v>
      </c>
      <c r="G20">
        <v>450</v>
      </c>
      <c r="H20">
        <f t="shared" si="0"/>
        <v>11250</v>
      </c>
    </row>
    <row r="21" spans="1:8" x14ac:dyDescent="0.25">
      <c r="A21">
        <v>20</v>
      </c>
      <c r="B21" s="2" t="s">
        <v>3</v>
      </c>
      <c r="C21" t="s">
        <v>36</v>
      </c>
      <c r="D21" s="1" t="s">
        <v>32</v>
      </c>
      <c r="E21" t="s">
        <v>21</v>
      </c>
      <c r="F21">
        <v>36</v>
      </c>
      <c r="G21">
        <v>450</v>
      </c>
      <c r="H21">
        <f t="shared" si="0"/>
        <v>16200</v>
      </c>
    </row>
    <row r="22" spans="1:8" x14ac:dyDescent="0.25">
      <c r="A22">
        <v>21</v>
      </c>
      <c r="B22" s="2" t="s">
        <v>3</v>
      </c>
      <c r="C22" t="s">
        <v>35</v>
      </c>
      <c r="D22" s="1" t="s">
        <v>32</v>
      </c>
      <c r="E22" t="s">
        <v>22</v>
      </c>
      <c r="F22">
        <v>95</v>
      </c>
      <c r="G22">
        <v>180</v>
      </c>
      <c r="H22">
        <f t="shared" si="0"/>
        <v>17100</v>
      </c>
    </row>
    <row r="23" spans="1:8" x14ac:dyDescent="0.25">
      <c r="A23">
        <v>22</v>
      </c>
      <c r="B23" s="2" t="s">
        <v>3</v>
      </c>
      <c r="C23" t="s">
        <v>35</v>
      </c>
      <c r="D23" s="1" t="s">
        <v>32</v>
      </c>
      <c r="E23" t="s">
        <v>15</v>
      </c>
      <c r="F23">
        <v>112</v>
      </c>
      <c r="G23">
        <v>150</v>
      </c>
      <c r="H23">
        <f t="shared" si="0"/>
        <v>16800</v>
      </c>
    </row>
    <row r="24" spans="1:8" x14ac:dyDescent="0.25">
      <c r="A24">
        <v>23</v>
      </c>
      <c r="B24" s="2" t="s">
        <v>6</v>
      </c>
      <c r="C24" t="s">
        <v>35</v>
      </c>
      <c r="D24" s="1" t="s">
        <v>32</v>
      </c>
      <c r="E24" t="s">
        <v>15</v>
      </c>
      <c r="F24">
        <v>43</v>
      </c>
      <c r="G24">
        <v>150</v>
      </c>
      <c r="H24">
        <f t="shared" si="0"/>
        <v>6450</v>
      </c>
    </row>
    <row r="25" spans="1:8" x14ac:dyDescent="0.25">
      <c r="A25">
        <v>24</v>
      </c>
      <c r="B25" s="2" t="s">
        <v>6</v>
      </c>
      <c r="C25" t="s">
        <v>35</v>
      </c>
      <c r="D25" s="1" t="s">
        <v>32</v>
      </c>
      <c r="E25" t="s">
        <v>16</v>
      </c>
      <c r="F25">
        <v>78</v>
      </c>
      <c r="G25">
        <v>350</v>
      </c>
      <c r="H25">
        <f t="shared" si="0"/>
        <v>27300</v>
      </c>
    </row>
    <row r="26" spans="1:8" x14ac:dyDescent="0.25">
      <c r="A26">
        <v>25</v>
      </c>
      <c r="B26" s="2" t="s">
        <v>6</v>
      </c>
      <c r="C26" t="s">
        <v>35</v>
      </c>
      <c r="D26" s="1" t="s">
        <v>32</v>
      </c>
      <c r="E26" t="s">
        <v>22</v>
      </c>
      <c r="F26">
        <v>25</v>
      </c>
      <c r="G26">
        <v>180</v>
      </c>
      <c r="H26">
        <f t="shared" si="0"/>
        <v>4500</v>
      </c>
    </row>
    <row r="27" spans="1:8" x14ac:dyDescent="0.25">
      <c r="A27">
        <v>26</v>
      </c>
      <c r="B27" s="2" t="s">
        <v>6</v>
      </c>
      <c r="C27" t="s">
        <v>35</v>
      </c>
      <c r="D27" s="1" t="s">
        <v>32</v>
      </c>
      <c r="E27" t="s">
        <v>18</v>
      </c>
      <c r="F27">
        <v>63</v>
      </c>
      <c r="G27">
        <v>50</v>
      </c>
      <c r="H27">
        <f t="shared" si="0"/>
        <v>3150</v>
      </c>
    </row>
    <row r="28" spans="1:8" x14ac:dyDescent="0.25">
      <c r="A28">
        <v>27</v>
      </c>
      <c r="B28" s="2" t="s">
        <v>6</v>
      </c>
      <c r="C28" t="s">
        <v>35</v>
      </c>
      <c r="D28" s="1" t="s">
        <v>32</v>
      </c>
      <c r="E28" t="s">
        <v>17</v>
      </c>
      <c r="F28">
        <v>39</v>
      </c>
      <c r="G28">
        <v>112</v>
      </c>
      <c r="H28">
        <f t="shared" si="0"/>
        <v>4368</v>
      </c>
    </row>
    <row r="29" spans="1:8" x14ac:dyDescent="0.25">
      <c r="A29">
        <v>28</v>
      </c>
      <c r="B29" s="2" t="s">
        <v>6</v>
      </c>
      <c r="C29" t="s">
        <v>35</v>
      </c>
      <c r="D29" s="1" t="s">
        <v>32</v>
      </c>
      <c r="E29" t="s">
        <v>20</v>
      </c>
      <c r="F29">
        <v>98</v>
      </c>
      <c r="G29">
        <v>125</v>
      </c>
      <c r="H29">
        <f t="shared" si="0"/>
        <v>12250</v>
      </c>
    </row>
    <row r="30" spans="1:8" x14ac:dyDescent="0.25">
      <c r="A30">
        <v>29</v>
      </c>
      <c r="B30" s="2" t="s">
        <v>6</v>
      </c>
      <c r="C30" t="s">
        <v>35</v>
      </c>
      <c r="D30" s="1" t="s">
        <v>32</v>
      </c>
      <c r="E30" t="s">
        <v>22</v>
      </c>
      <c r="F30">
        <v>125</v>
      </c>
      <c r="G30">
        <v>180</v>
      </c>
      <c r="H30">
        <f t="shared" si="0"/>
        <v>22500</v>
      </c>
    </row>
    <row r="31" spans="1:8" x14ac:dyDescent="0.25">
      <c r="A31">
        <v>30</v>
      </c>
      <c r="B31" s="2" t="s">
        <v>6</v>
      </c>
      <c r="C31" t="s">
        <v>35</v>
      </c>
      <c r="D31" s="1" t="s">
        <v>32</v>
      </c>
      <c r="E31" t="s">
        <v>22</v>
      </c>
      <c r="F31">
        <v>45</v>
      </c>
      <c r="G31">
        <v>180</v>
      </c>
      <c r="H31">
        <f t="shared" si="0"/>
        <v>8100</v>
      </c>
    </row>
    <row r="32" spans="1:8" x14ac:dyDescent="0.25">
      <c r="A32">
        <v>31</v>
      </c>
      <c r="B32" s="2" t="s">
        <v>4</v>
      </c>
      <c r="C32" t="s">
        <v>35</v>
      </c>
      <c r="D32" s="1" t="s">
        <v>32</v>
      </c>
      <c r="E32" t="s">
        <v>22</v>
      </c>
      <c r="F32">
        <v>73</v>
      </c>
      <c r="G32">
        <v>180</v>
      </c>
      <c r="H32">
        <f t="shared" si="0"/>
        <v>13140</v>
      </c>
    </row>
    <row r="33" spans="1:8" x14ac:dyDescent="0.25">
      <c r="A33">
        <v>32</v>
      </c>
      <c r="B33" s="2" t="s">
        <v>4</v>
      </c>
      <c r="C33" t="s">
        <v>35</v>
      </c>
      <c r="D33" s="1" t="s">
        <v>32</v>
      </c>
      <c r="E33" t="s">
        <v>17</v>
      </c>
      <c r="F33">
        <v>71</v>
      </c>
      <c r="G33">
        <v>112</v>
      </c>
      <c r="H33">
        <f t="shared" si="0"/>
        <v>7952</v>
      </c>
    </row>
    <row r="34" spans="1:8" x14ac:dyDescent="0.25">
      <c r="A34">
        <v>33</v>
      </c>
      <c r="B34" s="2" t="s">
        <v>4</v>
      </c>
      <c r="C34" t="s">
        <v>35</v>
      </c>
      <c r="D34" s="1" t="s">
        <v>32</v>
      </c>
      <c r="E34" t="s">
        <v>16</v>
      </c>
      <c r="F34">
        <v>23</v>
      </c>
      <c r="G34">
        <v>350</v>
      </c>
      <c r="H34">
        <f t="shared" si="0"/>
        <v>8050</v>
      </c>
    </row>
    <row r="35" spans="1:8" x14ac:dyDescent="0.25">
      <c r="A35">
        <v>34</v>
      </c>
      <c r="B35" s="2" t="s">
        <v>4</v>
      </c>
      <c r="C35" t="s">
        <v>35</v>
      </c>
      <c r="D35" s="1" t="s">
        <v>32</v>
      </c>
      <c r="E35" t="s">
        <v>16</v>
      </c>
      <c r="F35">
        <v>12</v>
      </c>
      <c r="G35">
        <v>350</v>
      </c>
      <c r="H35">
        <f t="shared" si="0"/>
        <v>4200</v>
      </c>
    </row>
    <row r="36" spans="1:8" x14ac:dyDescent="0.25">
      <c r="A36">
        <v>35</v>
      </c>
      <c r="B36" s="2" t="s">
        <v>4</v>
      </c>
      <c r="C36" t="s">
        <v>35</v>
      </c>
      <c r="D36" s="1" t="s">
        <v>32</v>
      </c>
      <c r="E36" t="s">
        <v>18</v>
      </c>
      <c r="F36">
        <v>25</v>
      </c>
      <c r="G36">
        <v>50</v>
      </c>
      <c r="H36">
        <f t="shared" si="0"/>
        <v>1250</v>
      </c>
    </row>
    <row r="37" spans="1:8" x14ac:dyDescent="0.25">
      <c r="A37">
        <v>36</v>
      </c>
      <c r="B37" s="2" t="s">
        <v>4</v>
      </c>
      <c r="C37" t="s">
        <v>35</v>
      </c>
      <c r="D37" s="1" t="s">
        <v>30</v>
      </c>
      <c r="E37" t="s">
        <v>18</v>
      </c>
      <c r="F37">
        <v>125</v>
      </c>
      <c r="G37">
        <v>50</v>
      </c>
      <c r="H37">
        <f t="shared" si="0"/>
        <v>6250</v>
      </c>
    </row>
    <row r="38" spans="1:8" x14ac:dyDescent="0.25">
      <c r="A38">
        <v>37</v>
      </c>
      <c r="B38" s="2" t="s">
        <v>4</v>
      </c>
      <c r="C38" t="s">
        <v>35</v>
      </c>
      <c r="D38" s="1" t="s">
        <v>30</v>
      </c>
      <c r="E38" t="s">
        <v>18</v>
      </c>
      <c r="F38">
        <v>45</v>
      </c>
      <c r="G38">
        <v>50</v>
      </c>
      <c r="H38">
        <f t="shared" si="0"/>
        <v>2250</v>
      </c>
    </row>
    <row r="39" spans="1:8" x14ac:dyDescent="0.25">
      <c r="A39">
        <v>38</v>
      </c>
      <c r="B39" s="2" t="s">
        <v>4</v>
      </c>
      <c r="C39" t="s">
        <v>35</v>
      </c>
      <c r="D39" s="1" t="s">
        <v>30</v>
      </c>
      <c r="E39" t="s">
        <v>18</v>
      </c>
      <c r="F39">
        <v>63</v>
      </c>
      <c r="G39">
        <v>50</v>
      </c>
      <c r="H39">
        <f t="shared" si="0"/>
        <v>3150</v>
      </c>
    </row>
    <row r="40" spans="1:8" x14ac:dyDescent="0.25">
      <c r="A40">
        <v>39</v>
      </c>
      <c r="B40" s="2" t="s">
        <v>4</v>
      </c>
      <c r="C40" t="s">
        <v>35</v>
      </c>
      <c r="D40" s="1" t="s">
        <v>30</v>
      </c>
      <c r="E40" t="s">
        <v>17</v>
      </c>
      <c r="F40">
        <v>65</v>
      </c>
      <c r="G40">
        <v>112</v>
      </c>
      <c r="H40">
        <f t="shared" si="0"/>
        <v>7280</v>
      </c>
    </row>
    <row r="41" spans="1:8" x14ac:dyDescent="0.25">
      <c r="A41">
        <v>40</v>
      </c>
      <c r="B41" s="2" t="s">
        <v>4</v>
      </c>
      <c r="C41" t="s">
        <v>35</v>
      </c>
      <c r="D41" s="1" t="s">
        <v>30</v>
      </c>
      <c r="E41" t="s">
        <v>17</v>
      </c>
      <c r="F41">
        <v>12</v>
      </c>
      <c r="G41">
        <v>112</v>
      </c>
      <c r="H41">
        <f t="shared" si="0"/>
        <v>1344</v>
      </c>
    </row>
    <row r="42" spans="1:8" x14ac:dyDescent="0.25">
      <c r="A42">
        <v>41</v>
      </c>
      <c r="B42" s="2" t="s">
        <v>7</v>
      </c>
      <c r="C42" t="s">
        <v>35</v>
      </c>
      <c r="D42" s="1" t="s">
        <v>30</v>
      </c>
      <c r="E42" t="s">
        <v>17</v>
      </c>
      <c r="F42">
        <v>84</v>
      </c>
      <c r="G42">
        <v>112</v>
      </c>
      <c r="H42">
        <f t="shared" si="0"/>
        <v>9408</v>
      </c>
    </row>
    <row r="43" spans="1:8" x14ac:dyDescent="0.25">
      <c r="A43">
        <v>42</v>
      </c>
      <c r="B43" s="2" t="s">
        <v>7</v>
      </c>
      <c r="C43" t="s">
        <v>37</v>
      </c>
      <c r="D43" s="1" t="s">
        <v>30</v>
      </c>
      <c r="E43" t="s">
        <v>17</v>
      </c>
      <c r="F43">
        <v>85</v>
      </c>
      <c r="G43">
        <v>112</v>
      </c>
      <c r="H43">
        <f t="shared" si="0"/>
        <v>9520</v>
      </c>
    </row>
    <row r="44" spans="1:8" x14ac:dyDescent="0.25">
      <c r="A44">
        <v>43</v>
      </c>
      <c r="B44" s="2" t="s">
        <v>7</v>
      </c>
      <c r="C44" t="s">
        <v>37</v>
      </c>
      <c r="D44" s="1" t="s">
        <v>30</v>
      </c>
      <c r="E44" t="s">
        <v>17</v>
      </c>
      <c r="F44">
        <v>96</v>
      </c>
      <c r="G44">
        <v>112</v>
      </c>
      <c r="H44">
        <f t="shared" si="0"/>
        <v>10752</v>
      </c>
    </row>
    <row r="45" spans="1:8" x14ac:dyDescent="0.25">
      <c r="A45">
        <v>44</v>
      </c>
      <c r="B45" s="2" t="s">
        <v>7</v>
      </c>
      <c r="C45" t="s">
        <v>37</v>
      </c>
      <c r="D45" s="1" t="s">
        <v>30</v>
      </c>
      <c r="E45" t="s">
        <v>17</v>
      </c>
      <c r="F45">
        <v>63</v>
      </c>
      <c r="G45">
        <v>112</v>
      </c>
      <c r="H45">
        <f t="shared" si="0"/>
        <v>7056</v>
      </c>
    </row>
    <row r="46" spans="1:8" x14ac:dyDescent="0.25">
      <c r="A46">
        <v>45</v>
      </c>
      <c r="B46" s="2" t="s">
        <v>7</v>
      </c>
      <c r="C46" t="s">
        <v>37</v>
      </c>
      <c r="D46" s="1" t="s">
        <v>30</v>
      </c>
      <c r="E46" t="s">
        <v>15</v>
      </c>
      <c r="F46">
        <v>41</v>
      </c>
      <c r="G46">
        <v>150</v>
      </c>
      <c r="H46">
        <f t="shared" si="0"/>
        <v>6150</v>
      </c>
    </row>
    <row r="47" spans="1:8" x14ac:dyDescent="0.25">
      <c r="A47">
        <v>46</v>
      </c>
      <c r="B47" s="2" t="s">
        <v>7</v>
      </c>
      <c r="C47" t="s">
        <v>37</v>
      </c>
      <c r="D47" s="1" t="s">
        <v>30</v>
      </c>
      <c r="E47" t="s">
        <v>15</v>
      </c>
      <c r="F47">
        <v>25</v>
      </c>
      <c r="G47">
        <v>150</v>
      </c>
      <c r="H47">
        <f t="shared" si="0"/>
        <v>3750</v>
      </c>
    </row>
    <row r="48" spans="1:8" x14ac:dyDescent="0.25">
      <c r="A48">
        <v>47</v>
      </c>
      <c r="B48" s="2" t="s">
        <v>7</v>
      </c>
      <c r="C48" t="s">
        <v>37</v>
      </c>
      <c r="D48" s="1" t="s">
        <v>30</v>
      </c>
      <c r="E48" t="s">
        <v>15</v>
      </c>
      <c r="F48">
        <v>63</v>
      </c>
      <c r="G48">
        <v>150</v>
      </c>
      <c r="H48">
        <f t="shared" si="0"/>
        <v>9450</v>
      </c>
    </row>
    <row r="49" spans="1:8" x14ac:dyDescent="0.25">
      <c r="A49">
        <v>48</v>
      </c>
      <c r="B49" s="2" t="s">
        <v>7</v>
      </c>
      <c r="C49" t="s">
        <v>37</v>
      </c>
      <c r="D49" s="1" t="s">
        <v>30</v>
      </c>
      <c r="E49" t="s">
        <v>16</v>
      </c>
      <c r="F49">
        <v>23</v>
      </c>
      <c r="G49">
        <v>350</v>
      </c>
      <c r="H49">
        <f t="shared" si="0"/>
        <v>8050</v>
      </c>
    </row>
    <row r="50" spans="1:8" x14ac:dyDescent="0.25">
      <c r="A50">
        <v>49</v>
      </c>
      <c r="B50" s="2" t="s">
        <v>8</v>
      </c>
      <c r="C50" t="s">
        <v>37</v>
      </c>
      <c r="D50" s="1" t="s">
        <v>30</v>
      </c>
      <c r="E50" t="s">
        <v>16</v>
      </c>
      <c r="F50">
        <v>59</v>
      </c>
      <c r="G50">
        <v>350</v>
      </c>
      <c r="H50">
        <f t="shared" si="0"/>
        <v>20650</v>
      </c>
    </row>
    <row r="51" spans="1:8" x14ac:dyDescent="0.25">
      <c r="A51">
        <v>50</v>
      </c>
      <c r="B51" s="2" t="s">
        <v>8</v>
      </c>
      <c r="C51" t="s">
        <v>37</v>
      </c>
      <c r="D51" s="1" t="s">
        <v>30</v>
      </c>
      <c r="E51" t="s">
        <v>21</v>
      </c>
      <c r="F51">
        <v>45</v>
      </c>
      <c r="G51">
        <v>450</v>
      </c>
      <c r="H51">
        <f t="shared" si="0"/>
        <v>20250</v>
      </c>
    </row>
    <row r="52" spans="1:8" x14ac:dyDescent="0.25">
      <c r="A52">
        <v>51</v>
      </c>
      <c r="B52" s="2" t="s">
        <v>8</v>
      </c>
      <c r="C52" t="s">
        <v>37</v>
      </c>
      <c r="D52" s="1" t="s">
        <v>30</v>
      </c>
      <c r="E52" t="s">
        <v>21</v>
      </c>
      <c r="F52">
        <v>12</v>
      </c>
      <c r="G52">
        <v>450</v>
      </c>
      <c r="H52">
        <f t="shared" si="0"/>
        <v>5400</v>
      </c>
    </row>
    <row r="53" spans="1:8" x14ac:dyDescent="0.25">
      <c r="A53">
        <v>52</v>
      </c>
      <c r="B53" s="2" t="s">
        <v>8</v>
      </c>
      <c r="C53" t="s">
        <v>37</v>
      </c>
      <c r="D53" s="1" t="s">
        <v>30</v>
      </c>
      <c r="E53" t="s">
        <v>21</v>
      </c>
      <c r="F53">
        <v>10</v>
      </c>
      <c r="G53">
        <v>450</v>
      </c>
      <c r="H53">
        <f t="shared" si="0"/>
        <v>4500</v>
      </c>
    </row>
    <row r="54" spans="1:8" x14ac:dyDescent="0.25">
      <c r="A54">
        <v>53</v>
      </c>
      <c r="B54" s="2" t="s">
        <v>8</v>
      </c>
      <c r="C54" t="s">
        <v>36</v>
      </c>
      <c r="D54" s="1" t="s">
        <v>30</v>
      </c>
      <c r="E54" t="s">
        <v>16</v>
      </c>
      <c r="F54">
        <v>30</v>
      </c>
      <c r="G54">
        <v>350</v>
      </c>
      <c r="H54">
        <f t="shared" si="0"/>
        <v>10500</v>
      </c>
    </row>
    <row r="55" spans="1:8" x14ac:dyDescent="0.25">
      <c r="A55">
        <v>54</v>
      </c>
      <c r="B55" s="2" t="s">
        <v>8</v>
      </c>
      <c r="C55" t="s">
        <v>36</v>
      </c>
      <c r="D55" s="1" t="s">
        <v>30</v>
      </c>
      <c r="E55" t="s">
        <v>16</v>
      </c>
      <c r="F55">
        <v>25</v>
      </c>
      <c r="G55">
        <v>350</v>
      </c>
      <c r="H55">
        <f t="shared" si="0"/>
        <v>8750</v>
      </c>
    </row>
    <row r="56" spans="1:8" x14ac:dyDescent="0.25">
      <c r="A56">
        <v>55</v>
      </c>
      <c r="B56" s="2" t="s">
        <v>8</v>
      </c>
      <c r="C56" t="s">
        <v>36</v>
      </c>
      <c r="D56" s="1" t="s">
        <v>30</v>
      </c>
      <c r="E56" t="s">
        <v>16</v>
      </c>
      <c r="F56">
        <v>62</v>
      </c>
      <c r="G56">
        <v>350</v>
      </c>
      <c r="H56">
        <f t="shared" si="0"/>
        <v>21700</v>
      </c>
    </row>
    <row r="57" spans="1:8" x14ac:dyDescent="0.25">
      <c r="A57">
        <v>56</v>
      </c>
      <c r="B57" s="2" t="s">
        <v>3</v>
      </c>
      <c r="C57" t="s">
        <v>36</v>
      </c>
      <c r="D57" s="1" t="s">
        <v>30</v>
      </c>
      <c r="E57" t="s">
        <v>22</v>
      </c>
      <c r="F57">
        <v>10</v>
      </c>
      <c r="G57">
        <v>180</v>
      </c>
      <c r="H57">
        <f t="shared" si="0"/>
        <v>1800</v>
      </c>
    </row>
    <row r="58" spans="1:8" x14ac:dyDescent="0.25">
      <c r="A58">
        <v>57</v>
      </c>
      <c r="B58" s="2" t="s">
        <v>3</v>
      </c>
      <c r="C58" t="s">
        <v>36</v>
      </c>
      <c r="D58" s="1" t="s">
        <v>30</v>
      </c>
      <c r="E58" t="s">
        <v>22</v>
      </c>
      <c r="F58">
        <v>14</v>
      </c>
      <c r="G58">
        <v>180</v>
      </c>
      <c r="H58">
        <f t="shared" si="0"/>
        <v>2520</v>
      </c>
    </row>
    <row r="59" spans="1:8" x14ac:dyDescent="0.25">
      <c r="A59">
        <v>58</v>
      </c>
      <c r="B59" s="2" t="s">
        <v>3</v>
      </c>
      <c r="C59" t="s">
        <v>36</v>
      </c>
      <c r="D59" s="1" t="s">
        <v>30</v>
      </c>
      <c r="E59" t="s">
        <v>22</v>
      </c>
      <c r="F59">
        <v>19</v>
      </c>
      <c r="G59">
        <v>180</v>
      </c>
      <c r="H59">
        <f t="shared" si="0"/>
        <v>3420</v>
      </c>
    </row>
    <row r="60" spans="1:8" x14ac:dyDescent="0.25">
      <c r="A60">
        <v>59</v>
      </c>
      <c r="B60" s="2" t="s">
        <v>3</v>
      </c>
      <c r="C60" t="s">
        <v>36</v>
      </c>
      <c r="D60" s="1" t="s">
        <v>30</v>
      </c>
      <c r="E60" t="s">
        <v>22</v>
      </c>
      <c r="F60">
        <v>25</v>
      </c>
      <c r="G60">
        <v>180</v>
      </c>
      <c r="H60">
        <f t="shared" si="0"/>
        <v>4500</v>
      </c>
    </row>
    <row r="61" spans="1:8" x14ac:dyDescent="0.25">
      <c r="A61">
        <v>60</v>
      </c>
      <c r="B61" s="2" t="s">
        <v>3</v>
      </c>
      <c r="C61" t="s">
        <v>36</v>
      </c>
      <c r="D61" s="1" t="s">
        <v>30</v>
      </c>
      <c r="E61" t="s">
        <v>22</v>
      </c>
      <c r="F61">
        <v>36</v>
      </c>
      <c r="G61">
        <v>180</v>
      </c>
      <c r="H61">
        <f t="shared" si="0"/>
        <v>6480</v>
      </c>
    </row>
    <row r="62" spans="1:8" x14ac:dyDescent="0.25">
      <c r="A62">
        <v>61</v>
      </c>
      <c r="B62" s="2" t="s">
        <v>5</v>
      </c>
      <c r="C62" t="s">
        <v>36</v>
      </c>
      <c r="D62" s="1" t="s">
        <v>30</v>
      </c>
      <c r="E62" t="s">
        <v>22</v>
      </c>
      <c r="F62">
        <v>69</v>
      </c>
      <c r="G62">
        <v>180</v>
      </c>
      <c r="H62">
        <f t="shared" si="0"/>
        <v>12420</v>
      </c>
    </row>
    <row r="63" spans="1:8" x14ac:dyDescent="0.25">
      <c r="A63">
        <v>62</v>
      </c>
      <c r="B63" s="2" t="s">
        <v>5</v>
      </c>
      <c r="C63" t="s">
        <v>36</v>
      </c>
      <c r="D63" s="1" t="s">
        <v>30</v>
      </c>
      <c r="E63" t="s">
        <v>22</v>
      </c>
      <c r="F63">
        <v>90</v>
      </c>
      <c r="G63">
        <v>180</v>
      </c>
      <c r="H63">
        <f t="shared" si="0"/>
        <v>16200</v>
      </c>
    </row>
    <row r="64" spans="1:8" x14ac:dyDescent="0.25">
      <c r="A64">
        <v>63</v>
      </c>
      <c r="B64" s="2" t="s">
        <v>5</v>
      </c>
      <c r="C64" t="s">
        <v>36</v>
      </c>
      <c r="D64" s="1" t="s">
        <v>30</v>
      </c>
      <c r="E64" t="s">
        <v>18</v>
      </c>
      <c r="F64">
        <v>83</v>
      </c>
      <c r="G64">
        <v>50</v>
      </c>
      <c r="H64">
        <f t="shared" si="0"/>
        <v>4150</v>
      </c>
    </row>
    <row r="65" spans="1:8" x14ac:dyDescent="0.25">
      <c r="A65">
        <v>64</v>
      </c>
      <c r="B65" s="2" t="s">
        <v>5</v>
      </c>
      <c r="C65" t="s">
        <v>36</v>
      </c>
      <c r="D65" s="1" t="s">
        <v>30</v>
      </c>
      <c r="E65" t="s">
        <v>19</v>
      </c>
      <c r="F65">
        <v>82</v>
      </c>
      <c r="G65">
        <v>108</v>
      </c>
      <c r="H65">
        <f t="shared" si="0"/>
        <v>8856</v>
      </c>
    </row>
    <row r="66" spans="1:8" x14ac:dyDescent="0.25">
      <c r="A66">
        <v>65</v>
      </c>
      <c r="B66" s="2" t="s">
        <v>5</v>
      </c>
      <c r="C66" t="s">
        <v>36</v>
      </c>
      <c r="D66" s="1" t="s">
        <v>30</v>
      </c>
      <c r="E66" t="s">
        <v>19</v>
      </c>
      <c r="F66">
        <v>45</v>
      </c>
      <c r="G66">
        <v>108</v>
      </c>
      <c r="H66">
        <f t="shared" si="0"/>
        <v>4860</v>
      </c>
    </row>
    <row r="67" spans="1:8" x14ac:dyDescent="0.25">
      <c r="A67">
        <v>66</v>
      </c>
      <c r="B67" s="2" t="s">
        <v>5</v>
      </c>
      <c r="C67" t="s">
        <v>36</v>
      </c>
      <c r="D67" s="1" t="s">
        <v>30</v>
      </c>
      <c r="E67" t="s">
        <v>19</v>
      </c>
      <c r="F67">
        <v>48</v>
      </c>
      <c r="G67">
        <v>108</v>
      </c>
      <c r="H67">
        <f t="shared" ref="H67:H121" si="1">F67*G67</f>
        <v>5184</v>
      </c>
    </row>
    <row r="68" spans="1:8" x14ac:dyDescent="0.25">
      <c r="A68">
        <v>67</v>
      </c>
      <c r="B68" s="2" t="s">
        <v>5</v>
      </c>
      <c r="C68" t="s">
        <v>36</v>
      </c>
      <c r="D68" s="1" t="s">
        <v>30</v>
      </c>
      <c r="E68" t="s">
        <v>19</v>
      </c>
      <c r="F68">
        <v>80</v>
      </c>
      <c r="G68">
        <v>108</v>
      </c>
      <c r="H68">
        <f t="shared" si="1"/>
        <v>8640</v>
      </c>
    </row>
    <row r="69" spans="1:8" x14ac:dyDescent="0.25">
      <c r="A69">
        <v>68</v>
      </c>
      <c r="B69" s="2" t="s">
        <v>9</v>
      </c>
      <c r="C69" t="s">
        <v>36</v>
      </c>
      <c r="D69" s="1" t="s">
        <v>30</v>
      </c>
      <c r="E69" t="s">
        <v>20</v>
      </c>
      <c r="F69">
        <v>73</v>
      </c>
      <c r="G69">
        <v>125</v>
      </c>
      <c r="H69">
        <f t="shared" si="1"/>
        <v>9125</v>
      </c>
    </row>
    <row r="70" spans="1:8" x14ac:dyDescent="0.25">
      <c r="A70">
        <v>69</v>
      </c>
      <c r="B70" s="2" t="s">
        <v>9</v>
      </c>
      <c r="C70" t="s">
        <v>36</v>
      </c>
      <c r="D70" s="1" t="s">
        <v>30</v>
      </c>
      <c r="E70" t="s">
        <v>20</v>
      </c>
      <c r="F70">
        <v>71</v>
      </c>
      <c r="G70">
        <v>125</v>
      </c>
      <c r="H70">
        <f t="shared" si="1"/>
        <v>8875</v>
      </c>
    </row>
    <row r="71" spans="1:8" x14ac:dyDescent="0.25">
      <c r="A71">
        <v>70</v>
      </c>
      <c r="B71" s="2" t="s">
        <v>9</v>
      </c>
      <c r="C71" t="s">
        <v>36</v>
      </c>
      <c r="D71" s="1" t="s">
        <v>30</v>
      </c>
      <c r="E71" t="s">
        <v>20</v>
      </c>
      <c r="F71">
        <v>79</v>
      </c>
      <c r="G71">
        <v>125</v>
      </c>
      <c r="H71">
        <f t="shared" si="1"/>
        <v>9875</v>
      </c>
    </row>
    <row r="72" spans="1:8" x14ac:dyDescent="0.25">
      <c r="A72">
        <v>71</v>
      </c>
      <c r="B72" s="2" t="s">
        <v>9</v>
      </c>
      <c r="C72" t="s">
        <v>36</v>
      </c>
      <c r="D72" s="1" t="s">
        <v>30</v>
      </c>
      <c r="E72" t="s">
        <v>20</v>
      </c>
      <c r="F72">
        <v>56</v>
      </c>
      <c r="G72">
        <v>125</v>
      </c>
      <c r="H72">
        <f t="shared" si="1"/>
        <v>7000</v>
      </c>
    </row>
    <row r="73" spans="1:8" x14ac:dyDescent="0.25">
      <c r="A73">
        <v>72</v>
      </c>
      <c r="B73" s="2" t="s">
        <v>9</v>
      </c>
      <c r="C73" t="s">
        <v>36</v>
      </c>
      <c r="D73" s="1" t="s">
        <v>30</v>
      </c>
      <c r="E73" t="s">
        <v>16</v>
      </c>
      <c r="F73">
        <v>90</v>
      </c>
      <c r="G73">
        <v>350</v>
      </c>
      <c r="H73">
        <f t="shared" si="1"/>
        <v>31500</v>
      </c>
    </row>
    <row r="74" spans="1:8" x14ac:dyDescent="0.25">
      <c r="A74">
        <v>73</v>
      </c>
      <c r="B74" s="2" t="s">
        <v>9</v>
      </c>
      <c r="C74" t="s">
        <v>36</v>
      </c>
      <c r="D74" s="1" t="s">
        <v>30</v>
      </c>
      <c r="E74" t="s">
        <v>15</v>
      </c>
      <c r="F74">
        <v>86</v>
      </c>
      <c r="G74">
        <v>150</v>
      </c>
      <c r="H74">
        <f t="shared" si="1"/>
        <v>12900</v>
      </c>
    </row>
    <row r="75" spans="1:8" x14ac:dyDescent="0.25">
      <c r="A75">
        <v>74</v>
      </c>
      <c r="B75" s="2" t="s">
        <v>10</v>
      </c>
      <c r="C75" t="s">
        <v>36</v>
      </c>
      <c r="D75" s="1" t="s">
        <v>30</v>
      </c>
      <c r="E75" t="s">
        <v>15</v>
      </c>
      <c r="F75">
        <v>50</v>
      </c>
      <c r="G75">
        <v>150</v>
      </c>
      <c r="H75">
        <f t="shared" si="1"/>
        <v>7500</v>
      </c>
    </row>
    <row r="76" spans="1:8" x14ac:dyDescent="0.25">
      <c r="A76">
        <v>75</v>
      </c>
      <c r="B76" s="2" t="s">
        <v>10</v>
      </c>
      <c r="C76" t="s">
        <v>37</v>
      </c>
      <c r="D76" s="1" t="s">
        <v>30</v>
      </c>
      <c r="E76" t="s">
        <v>18</v>
      </c>
      <c r="F76">
        <v>45</v>
      </c>
      <c r="G76">
        <v>50</v>
      </c>
      <c r="H76">
        <f t="shared" si="1"/>
        <v>2250</v>
      </c>
    </row>
    <row r="77" spans="1:8" x14ac:dyDescent="0.25">
      <c r="A77">
        <v>76</v>
      </c>
      <c r="B77" s="2" t="s">
        <v>10</v>
      </c>
      <c r="C77" t="s">
        <v>37</v>
      </c>
      <c r="D77" s="1" t="s">
        <v>30</v>
      </c>
      <c r="E77" t="s">
        <v>17</v>
      </c>
      <c r="F77">
        <v>52</v>
      </c>
      <c r="G77">
        <v>112</v>
      </c>
      <c r="H77">
        <f t="shared" si="1"/>
        <v>5824</v>
      </c>
    </row>
    <row r="78" spans="1:8" x14ac:dyDescent="0.25">
      <c r="A78">
        <v>77</v>
      </c>
      <c r="B78" s="2" t="s">
        <v>10</v>
      </c>
      <c r="C78" t="s">
        <v>37</v>
      </c>
      <c r="D78" s="1" t="s">
        <v>30</v>
      </c>
      <c r="E78" t="s">
        <v>17</v>
      </c>
      <c r="F78">
        <v>40</v>
      </c>
      <c r="G78">
        <v>112</v>
      </c>
      <c r="H78">
        <f t="shared" si="1"/>
        <v>4480</v>
      </c>
    </row>
    <row r="79" spans="1:8" x14ac:dyDescent="0.25">
      <c r="A79">
        <v>78</v>
      </c>
      <c r="B79" s="2" t="s">
        <v>10</v>
      </c>
      <c r="C79" t="s">
        <v>37</v>
      </c>
      <c r="D79" s="1" t="s">
        <v>30</v>
      </c>
      <c r="E79" t="s">
        <v>18</v>
      </c>
      <c r="F79">
        <v>70</v>
      </c>
      <c r="G79">
        <v>50</v>
      </c>
      <c r="H79">
        <f t="shared" si="1"/>
        <v>3500</v>
      </c>
    </row>
    <row r="80" spans="1:8" x14ac:dyDescent="0.25">
      <c r="A80">
        <v>79</v>
      </c>
      <c r="B80" s="2" t="s">
        <v>10</v>
      </c>
      <c r="C80" t="s">
        <v>37</v>
      </c>
      <c r="D80" s="1" t="s">
        <v>30</v>
      </c>
      <c r="E80" t="s">
        <v>15</v>
      </c>
      <c r="F80">
        <v>80</v>
      </c>
      <c r="G80">
        <v>150</v>
      </c>
      <c r="H80">
        <f t="shared" si="1"/>
        <v>12000</v>
      </c>
    </row>
    <row r="81" spans="1:8" x14ac:dyDescent="0.25">
      <c r="A81">
        <v>80</v>
      </c>
      <c r="B81" s="2" t="s">
        <v>10</v>
      </c>
      <c r="C81" t="s">
        <v>37</v>
      </c>
      <c r="D81" s="1" t="s">
        <v>30</v>
      </c>
      <c r="E81" t="s">
        <v>21</v>
      </c>
      <c r="F81">
        <v>20</v>
      </c>
      <c r="G81">
        <v>450</v>
      </c>
      <c r="H81">
        <f t="shared" si="1"/>
        <v>9000</v>
      </c>
    </row>
    <row r="82" spans="1:8" x14ac:dyDescent="0.25">
      <c r="A82">
        <v>81</v>
      </c>
      <c r="B82" s="2" t="s">
        <v>11</v>
      </c>
      <c r="C82" t="s">
        <v>37</v>
      </c>
      <c r="D82" s="1" t="s">
        <v>31</v>
      </c>
      <c r="E82" t="s">
        <v>21</v>
      </c>
      <c r="F82">
        <v>34</v>
      </c>
      <c r="G82">
        <v>450</v>
      </c>
      <c r="H82">
        <f t="shared" si="1"/>
        <v>15300</v>
      </c>
    </row>
    <row r="83" spans="1:8" x14ac:dyDescent="0.25">
      <c r="A83">
        <v>82</v>
      </c>
      <c r="B83" s="2" t="s">
        <v>11</v>
      </c>
      <c r="C83" t="s">
        <v>37</v>
      </c>
      <c r="D83" s="1" t="s">
        <v>31</v>
      </c>
      <c r="E83" t="s">
        <v>21</v>
      </c>
      <c r="F83">
        <v>30</v>
      </c>
      <c r="G83">
        <v>450</v>
      </c>
      <c r="H83">
        <f t="shared" si="1"/>
        <v>13500</v>
      </c>
    </row>
    <row r="84" spans="1:8" x14ac:dyDescent="0.25">
      <c r="A84">
        <v>83</v>
      </c>
      <c r="B84" s="2" t="s">
        <v>11</v>
      </c>
      <c r="C84" t="s">
        <v>37</v>
      </c>
      <c r="D84" s="1" t="s">
        <v>31</v>
      </c>
      <c r="E84" t="s">
        <v>16</v>
      </c>
      <c r="F84">
        <v>50</v>
      </c>
      <c r="G84">
        <v>350</v>
      </c>
      <c r="H84">
        <f t="shared" si="1"/>
        <v>17500</v>
      </c>
    </row>
    <row r="85" spans="1:8" x14ac:dyDescent="0.25">
      <c r="A85">
        <v>84</v>
      </c>
      <c r="B85" s="2" t="s">
        <v>11</v>
      </c>
      <c r="C85" t="s">
        <v>37</v>
      </c>
      <c r="D85" s="1" t="s">
        <v>31</v>
      </c>
      <c r="E85" t="s">
        <v>15</v>
      </c>
      <c r="F85">
        <v>45</v>
      </c>
      <c r="G85">
        <v>150</v>
      </c>
      <c r="H85">
        <f t="shared" si="1"/>
        <v>6750</v>
      </c>
    </row>
    <row r="86" spans="1:8" x14ac:dyDescent="0.25">
      <c r="A86">
        <v>85</v>
      </c>
      <c r="B86" s="2" t="s">
        <v>11</v>
      </c>
      <c r="C86" t="s">
        <v>37</v>
      </c>
      <c r="D86" s="1" t="s">
        <v>31</v>
      </c>
      <c r="E86" t="s">
        <v>15</v>
      </c>
      <c r="F86">
        <v>48</v>
      </c>
      <c r="G86">
        <v>150</v>
      </c>
      <c r="H86">
        <f t="shared" si="1"/>
        <v>7200</v>
      </c>
    </row>
    <row r="87" spans="1:8" x14ac:dyDescent="0.25">
      <c r="A87">
        <v>86</v>
      </c>
      <c r="B87" s="2" t="s">
        <v>3</v>
      </c>
      <c r="C87" t="s">
        <v>37</v>
      </c>
      <c r="D87" s="1" t="s">
        <v>31</v>
      </c>
      <c r="E87" t="s">
        <v>15</v>
      </c>
      <c r="F87">
        <v>18</v>
      </c>
      <c r="G87">
        <v>150</v>
      </c>
      <c r="H87">
        <f t="shared" si="1"/>
        <v>2700</v>
      </c>
    </row>
    <row r="88" spans="1:8" x14ac:dyDescent="0.25">
      <c r="A88">
        <v>87</v>
      </c>
      <c r="B88" s="2" t="s">
        <v>3</v>
      </c>
      <c r="C88" t="s">
        <v>37</v>
      </c>
      <c r="D88" s="1" t="s">
        <v>31</v>
      </c>
      <c r="E88" t="s">
        <v>20</v>
      </c>
      <c r="F88">
        <v>19</v>
      </c>
      <c r="G88">
        <v>125</v>
      </c>
      <c r="H88">
        <f t="shared" si="1"/>
        <v>2375</v>
      </c>
    </row>
    <row r="89" spans="1:8" x14ac:dyDescent="0.25">
      <c r="A89">
        <v>88</v>
      </c>
      <c r="B89" s="2" t="s">
        <v>3</v>
      </c>
      <c r="C89" t="s">
        <v>37</v>
      </c>
      <c r="D89" s="1" t="s">
        <v>31</v>
      </c>
      <c r="E89" t="s">
        <v>20</v>
      </c>
      <c r="F89">
        <v>6</v>
      </c>
      <c r="G89">
        <v>125</v>
      </c>
      <c r="H89">
        <f t="shared" si="1"/>
        <v>750</v>
      </c>
    </row>
    <row r="90" spans="1:8" x14ac:dyDescent="0.25">
      <c r="A90">
        <v>89</v>
      </c>
      <c r="B90" s="2" t="s">
        <v>3</v>
      </c>
      <c r="C90" t="s">
        <v>37</v>
      </c>
      <c r="D90" s="1" t="s">
        <v>31</v>
      </c>
      <c r="E90" t="s">
        <v>20</v>
      </c>
      <c r="F90">
        <v>40</v>
      </c>
      <c r="G90">
        <v>125</v>
      </c>
      <c r="H90">
        <f t="shared" si="1"/>
        <v>5000</v>
      </c>
    </row>
    <row r="91" spans="1:8" x14ac:dyDescent="0.25">
      <c r="A91">
        <v>90</v>
      </c>
      <c r="B91" s="2" t="s">
        <v>3</v>
      </c>
      <c r="C91" t="s">
        <v>35</v>
      </c>
      <c r="D91" s="1" t="s">
        <v>31</v>
      </c>
      <c r="E91" t="s">
        <v>20</v>
      </c>
      <c r="F91">
        <v>80</v>
      </c>
      <c r="G91">
        <v>125</v>
      </c>
      <c r="H91">
        <f t="shared" si="1"/>
        <v>10000</v>
      </c>
    </row>
    <row r="92" spans="1:8" x14ac:dyDescent="0.25">
      <c r="A92">
        <v>91</v>
      </c>
      <c r="B92" s="2" t="s">
        <v>12</v>
      </c>
      <c r="C92" t="s">
        <v>35</v>
      </c>
      <c r="D92" s="1" t="s">
        <v>31</v>
      </c>
      <c r="E92" t="s">
        <v>19</v>
      </c>
      <c r="F92">
        <v>91</v>
      </c>
      <c r="G92">
        <v>108</v>
      </c>
      <c r="H92">
        <f t="shared" si="1"/>
        <v>9828</v>
      </c>
    </row>
    <row r="93" spans="1:8" x14ac:dyDescent="0.25">
      <c r="A93">
        <v>92</v>
      </c>
      <c r="B93" s="2" t="s">
        <v>12</v>
      </c>
      <c r="C93" t="s">
        <v>35</v>
      </c>
      <c r="D93" s="1" t="s">
        <v>31</v>
      </c>
      <c r="E93" t="s">
        <v>19</v>
      </c>
      <c r="F93">
        <v>74</v>
      </c>
      <c r="G93">
        <v>108</v>
      </c>
      <c r="H93">
        <f t="shared" si="1"/>
        <v>7992</v>
      </c>
    </row>
    <row r="94" spans="1:8" x14ac:dyDescent="0.25">
      <c r="A94">
        <v>93</v>
      </c>
      <c r="B94" s="2" t="s">
        <v>12</v>
      </c>
      <c r="C94" t="s">
        <v>35</v>
      </c>
      <c r="D94" s="1" t="s">
        <v>31</v>
      </c>
      <c r="E94" t="s">
        <v>19</v>
      </c>
      <c r="F94">
        <v>62</v>
      </c>
      <c r="G94">
        <v>108</v>
      </c>
      <c r="H94">
        <f t="shared" si="1"/>
        <v>6696</v>
      </c>
    </row>
    <row r="95" spans="1:8" x14ac:dyDescent="0.25">
      <c r="A95">
        <v>94</v>
      </c>
      <c r="B95" s="2" t="s">
        <v>12</v>
      </c>
      <c r="C95" t="s">
        <v>35</v>
      </c>
      <c r="D95" s="1" t="s">
        <v>31</v>
      </c>
      <c r="E95" t="s">
        <v>17</v>
      </c>
      <c r="F95">
        <v>50</v>
      </c>
      <c r="G95">
        <v>112</v>
      </c>
      <c r="H95">
        <f t="shared" si="1"/>
        <v>5600</v>
      </c>
    </row>
    <row r="96" spans="1:8" x14ac:dyDescent="0.25">
      <c r="A96">
        <v>95</v>
      </c>
      <c r="B96" s="2" t="s">
        <v>12</v>
      </c>
      <c r="C96" t="s">
        <v>35</v>
      </c>
      <c r="D96" s="1" t="s">
        <v>31</v>
      </c>
      <c r="E96" t="s">
        <v>17</v>
      </c>
      <c r="F96">
        <v>36</v>
      </c>
      <c r="G96">
        <v>112</v>
      </c>
      <c r="H96">
        <f t="shared" si="1"/>
        <v>4032</v>
      </c>
    </row>
    <row r="97" spans="1:8" x14ac:dyDescent="0.25">
      <c r="A97">
        <v>96</v>
      </c>
      <c r="B97" s="2" t="s">
        <v>12</v>
      </c>
      <c r="C97" t="s">
        <v>35</v>
      </c>
      <c r="D97" s="1" t="s">
        <v>31</v>
      </c>
      <c r="E97" t="s">
        <v>17</v>
      </c>
      <c r="F97">
        <v>90</v>
      </c>
      <c r="G97">
        <v>112</v>
      </c>
      <c r="H97">
        <f t="shared" si="1"/>
        <v>10080</v>
      </c>
    </row>
    <row r="98" spans="1:8" x14ac:dyDescent="0.25">
      <c r="A98">
        <v>97</v>
      </c>
      <c r="B98" s="2" t="s">
        <v>12</v>
      </c>
      <c r="C98" t="s">
        <v>35</v>
      </c>
      <c r="D98" s="1" t="s">
        <v>31</v>
      </c>
      <c r="E98" t="s">
        <v>17</v>
      </c>
      <c r="F98">
        <v>48</v>
      </c>
      <c r="G98">
        <v>112</v>
      </c>
      <c r="H98">
        <f t="shared" si="1"/>
        <v>5376</v>
      </c>
    </row>
    <row r="99" spans="1:8" x14ac:dyDescent="0.25">
      <c r="A99">
        <v>98</v>
      </c>
      <c r="B99" s="2" t="s">
        <v>12</v>
      </c>
      <c r="C99" t="s">
        <v>35</v>
      </c>
      <c r="D99" s="1" t="s">
        <v>31</v>
      </c>
      <c r="E99" t="s">
        <v>21</v>
      </c>
      <c r="F99">
        <v>74</v>
      </c>
      <c r="G99">
        <v>450</v>
      </c>
      <c r="H99">
        <f t="shared" si="1"/>
        <v>33300</v>
      </c>
    </row>
    <row r="100" spans="1:8" x14ac:dyDescent="0.25">
      <c r="A100">
        <v>99</v>
      </c>
      <c r="B100" s="2" t="s">
        <v>13</v>
      </c>
      <c r="C100" t="s">
        <v>35</v>
      </c>
      <c r="D100" s="1" t="s">
        <v>31</v>
      </c>
      <c r="E100" t="s">
        <v>21</v>
      </c>
      <c r="F100">
        <v>36</v>
      </c>
      <c r="G100">
        <v>450</v>
      </c>
      <c r="H100">
        <f t="shared" si="1"/>
        <v>16200</v>
      </c>
    </row>
    <row r="101" spans="1:8" x14ac:dyDescent="0.25">
      <c r="A101">
        <v>100</v>
      </c>
      <c r="B101" s="2" t="s">
        <v>13</v>
      </c>
      <c r="C101" t="s">
        <v>35</v>
      </c>
      <c r="D101" s="1" t="s">
        <v>31</v>
      </c>
      <c r="E101" t="s">
        <v>21</v>
      </c>
      <c r="F101">
        <v>32</v>
      </c>
      <c r="G101">
        <v>450</v>
      </c>
      <c r="H101">
        <f t="shared" si="1"/>
        <v>14400</v>
      </c>
    </row>
    <row r="102" spans="1:8" x14ac:dyDescent="0.25">
      <c r="A102">
        <v>101</v>
      </c>
      <c r="B102" s="2" t="s">
        <v>13</v>
      </c>
      <c r="C102" t="s">
        <v>35</v>
      </c>
      <c r="D102" s="1" t="s">
        <v>31</v>
      </c>
      <c r="E102" t="s">
        <v>22</v>
      </c>
      <c r="F102">
        <v>90</v>
      </c>
      <c r="G102">
        <v>180</v>
      </c>
      <c r="H102">
        <f t="shared" si="1"/>
        <v>16200</v>
      </c>
    </row>
    <row r="103" spans="1:8" x14ac:dyDescent="0.25">
      <c r="A103">
        <v>102</v>
      </c>
      <c r="B103" s="2" t="s">
        <v>13</v>
      </c>
      <c r="C103" t="s">
        <v>36</v>
      </c>
      <c r="D103" s="1" t="s">
        <v>31</v>
      </c>
      <c r="E103" t="s">
        <v>22</v>
      </c>
      <c r="F103">
        <v>80</v>
      </c>
      <c r="G103">
        <v>180</v>
      </c>
      <c r="H103">
        <f t="shared" si="1"/>
        <v>14400</v>
      </c>
    </row>
    <row r="104" spans="1:8" x14ac:dyDescent="0.25">
      <c r="A104">
        <v>103</v>
      </c>
      <c r="B104" s="2" t="s">
        <v>13</v>
      </c>
      <c r="C104" t="s">
        <v>36</v>
      </c>
      <c r="D104" s="1" t="s">
        <v>31</v>
      </c>
      <c r="E104" t="s">
        <v>18</v>
      </c>
      <c r="F104">
        <v>21</v>
      </c>
      <c r="G104">
        <v>50</v>
      </c>
      <c r="H104">
        <f t="shared" si="1"/>
        <v>1050</v>
      </c>
    </row>
    <row r="105" spans="1:8" x14ac:dyDescent="0.25">
      <c r="A105">
        <v>104</v>
      </c>
      <c r="B105" s="2" t="s">
        <v>13</v>
      </c>
      <c r="C105" t="s">
        <v>36</v>
      </c>
      <c r="D105" s="1" t="s">
        <v>31</v>
      </c>
      <c r="E105" t="s">
        <v>18</v>
      </c>
      <c r="F105">
        <v>12</v>
      </c>
      <c r="G105">
        <v>50</v>
      </c>
      <c r="H105">
        <f t="shared" si="1"/>
        <v>600</v>
      </c>
    </row>
    <row r="106" spans="1:8" x14ac:dyDescent="0.25">
      <c r="A106">
        <v>105</v>
      </c>
      <c r="B106" s="2" t="s">
        <v>13</v>
      </c>
      <c r="C106" t="s">
        <v>36</v>
      </c>
      <c r="D106" s="1" t="s">
        <v>31</v>
      </c>
      <c r="E106" t="s">
        <v>15</v>
      </c>
      <c r="F106">
        <v>45</v>
      </c>
      <c r="G106">
        <v>150</v>
      </c>
      <c r="H106">
        <f t="shared" si="1"/>
        <v>6750</v>
      </c>
    </row>
    <row r="107" spans="1:8" x14ac:dyDescent="0.25">
      <c r="A107">
        <v>106</v>
      </c>
      <c r="B107" s="2" t="s">
        <v>13</v>
      </c>
      <c r="C107" t="s">
        <v>36</v>
      </c>
      <c r="D107" s="1" t="s">
        <v>31</v>
      </c>
      <c r="E107" t="s">
        <v>15</v>
      </c>
      <c r="F107">
        <v>72</v>
      </c>
      <c r="G107">
        <v>150</v>
      </c>
      <c r="H107">
        <f t="shared" si="1"/>
        <v>10800</v>
      </c>
    </row>
    <row r="108" spans="1:8" x14ac:dyDescent="0.25">
      <c r="A108">
        <v>107</v>
      </c>
      <c r="B108" s="2" t="s">
        <v>13</v>
      </c>
      <c r="C108" t="s">
        <v>36</v>
      </c>
      <c r="D108" s="1" t="s">
        <v>31</v>
      </c>
      <c r="E108" t="s">
        <v>15</v>
      </c>
      <c r="F108">
        <v>63</v>
      </c>
      <c r="G108">
        <v>150</v>
      </c>
      <c r="H108">
        <f t="shared" si="1"/>
        <v>9450</v>
      </c>
    </row>
    <row r="109" spans="1:8" x14ac:dyDescent="0.25">
      <c r="A109">
        <v>108</v>
      </c>
      <c r="B109" s="2" t="s">
        <v>14</v>
      </c>
      <c r="C109" t="s">
        <v>37</v>
      </c>
      <c r="D109" s="1" t="s">
        <v>31</v>
      </c>
      <c r="E109" t="s">
        <v>16</v>
      </c>
      <c r="F109">
        <v>56</v>
      </c>
      <c r="G109">
        <v>350</v>
      </c>
      <c r="H109">
        <f t="shared" si="1"/>
        <v>19600</v>
      </c>
    </row>
    <row r="110" spans="1:8" x14ac:dyDescent="0.25">
      <c r="A110">
        <v>109</v>
      </c>
      <c r="B110" s="2" t="s">
        <v>14</v>
      </c>
      <c r="C110" t="s">
        <v>37</v>
      </c>
      <c r="D110" s="1" t="s">
        <v>31</v>
      </c>
      <c r="E110" t="s">
        <v>16</v>
      </c>
      <c r="F110">
        <v>85</v>
      </c>
      <c r="G110">
        <v>350</v>
      </c>
      <c r="H110">
        <f t="shared" si="1"/>
        <v>29750</v>
      </c>
    </row>
    <row r="111" spans="1:8" x14ac:dyDescent="0.25">
      <c r="A111">
        <v>110</v>
      </c>
      <c r="B111" s="2" t="s">
        <v>14</v>
      </c>
      <c r="C111" t="s">
        <v>37</v>
      </c>
      <c r="D111" s="1" t="s">
        <v>31</v>
      </c>
      <c r="E111" t="s">
        <v>16</v>
      </c>
      <c r="F111">
        <v>45</v>
      </c>
      <c r="G111">
        <v>350</v>
      </c>
      <c r="H111">
        <f t="shared" si="1"/>
        <v>15750</v>
      </c>
    </row>
    <row r="112" spans="1:8" x14ac:dyDescent="0.25">
      <c r="A112">
        <v>111</v>
      </c>
      <c r="B112" s="2" t="s">
        <v>14</v>
      </c>
      <c r="C112" t="s">
        <v>37</v>
      </c>
      <c r="D112" s="1" t="s">
        <v>31</v>
      </c>
      <c r="E112" t="s">
        <v>20</v>
      </c>
      <c r="F112">
        <v>75</v>
      </c>
      <c r="G112">
        <v>125</v>
      </c>
      <c r="H112">
        <f t="shared" si="1"/>
        <v>9375</v>
      </c>
    </row>
    <row r="113" spans="1:8" x14ac:dyDescent="0.25">
      <c r="A113">
        <v>112</v>
      </c>
      <c r="B113" s="2" t="s">
        <v>14</v>
      </c>
      <c r="C113" t="s">
        <v>37</v>
      </c>
      <c r="D113" s="1" t="s">
        <v>31</v>
      </c>
      <c r="E113" t="s">
        <v>20</v>
      </c>
      <c r="F113">
        <v>53</v>
      </c>
      <c r="G113">
        <v>125</v>
      </c>
      <c r="H113">
        <f t="shared" si="1"/>
        <v>6625</v>
      </c>
    </row>
    <row r="114" spans="1:8" x14ac:dyDescent="0.25">
      <c r="A114">
        <v>113</v>
      </c>
      <c r="B114" s="2" t="s">
        <v>4</v>
      </c>
      <c r="C114" t="s">
        <v>37</v>
      </c>
      <c r="D114" s="1" t="s">
        <v>31</v>
      </c>
      <c r="E114" t="s">
        <v>20</v>
      </c>
      <c r="F114">
        <v>35</v>
      </c>
      <c r="G114">
        <v>125</v>
      </c>
      <c r="H114">
        <f t="shared" si="1"/>
        <v>4375</v>
      </c>
    </row>
    <row r="115" spans="1:8" x14ac:dyDescent="0.25">
      <c r="A115">
        <v>114</v>
      </c>
      <c r="B115" s="2" t="s">
        <v>4</v>
      </c>
      <c r="C115" t="s">
        <v>37</v>
      </c>
      <c r="D115" s="1" t="s">
        <v>31</v>
      </c>
      <c r="E115" t="s">
        <v>18</v>
      </c>
      <c r="F115">
        <v>59</v>
      </c>
      <c r="G115">
        <v>50</v>
      </c>
      <c r="H115">
        <f t="shared" si="1"/>
        <v>2950</v>
      </c>
    </row>
    <row r="116" spans="1:8" x14ac:dyDescent="0.25">
      <c r="A116">
        <v>115</v>
      </c>
      <c r="B116" s="2" t="s">
        <v>4</v>
      </c>
      <c r="C116" t="s">
        <v>37</v>
      </c>
      <c r="D116" s="1" t="s">
        <v>31</v>
      </c>
      <c r="E116" t="s">
        <v>18</v>
      </c>
      <c r="F116">
        <v>51</v>
      </c>
      <c r="G116">
        <v>50</v>
      </c>
      <c r="H116">
        <f t="shared" si="1"/>
        <v>2550</v>
      </c>
    </row>
    <row r="117" spans="1:8" x14ac:dyDescent="0.25">
      <c r="A117">
        <v>116</v>
      </c>
      <c r="B117" s="2" t="s">
        <v>4</v>
      </c>
      <c r="C117" t="s">
        <v>35</v>
      </c>
      <c r="D117" s="1" t="s">
        <v>31</v>
      </c>
      <c r="E117" t="s">
        <v>17</v>
      </c>
      <c r="F117">
        <v>54</v>
      </c>
      <c r="G117">
        <v>112</v>
      </c>
      <c r="H117">
        <f t="shared" si="1"/>
        <v>6048</v>
      </c>
    </row>
    <row r="118" spans="1:8" x14ac:dyDescent="0.25">
      <c r="A118">
        <v>117</v>
      </c>
      <c r="B118" s="2" t="s">
        <v>4</v>
      </c>
      <c r="C118" t="s">
        <v>35</v>
      </c>
      <c r="D118" s="1" t="s">
        <v>31</v>
      </c>
      <c r="E118" t="s">
        <v>17</v>
      </c>
      <c r="F118">
        <v>56</v>
      </c>
      <c r="G118">
        <v>112</v>
      </c>
      <c r="H118">
        <f t="shared" si="1"/>
        <v>6272</v>
      </c>
    </row>
    <row r="119" spans="1:8" x14ac:dyDescent="0.25">
      <c r="A119">
        <v>118</v>
      </c>
      <c r="B119" s="2" t="s">
        <v>4</v>
      </c>
      <c r="C119" t="s">
        <v>35</v>
      </c>
      <c r="D119" s="1" t="s">
        <v>31</v>
      </c>
      <c r="E119" t="s">
        <v>21</v>
      </c>
      <c r="F119">
        <v>45</v>
      </c>
      <c r="G119">
        <v>450</v>
      </c>
      <c r="H119">
        <f t="shared" si="1"/>
        <v>20250</v>
      </c>
    </row>
    <row r="120" spans="1:8" x14ac:dyDescent="0.25">
      <c r="A120">
        <v>119</v>
      </c>
      <c r="B120" s="2" t="s">
        <v>4</v>
      </c>
      <c r="C120" t="s">
        <v>35</v>
      </c>
      <c r="D120" s="1" t="s">
        <v>31</v>
      </c>
      <c r="E120" t="s">
        <v>21</v>
      </c>
      <c r="F120">
        <v>12</v>
      </c>
      <c r="G120">
        <v>450</v>
      </c>
      <c r="H120">
        <f t="shared" si="1"/>
        <v>5400</v>
      </c>
    </row>
    <row r="121" spans="1:8" x14ac:dyDescent="0.25">
      <c r="A121">
        <v>120</v>
      </c>
      <c r="B121" s="2" t="s">
        <v>4</v>
      </c>
      <c r="C121" t="s">
        <v>35</v>
      </c>
      <c r="D121" s="1" t="s">
        <v>31</v>
      </c>
      <c r="E121" t="s">
        <v>21</v>
      </c>
      <c r="F121">
        <v>17</v>
      </c>
      <c r="G121">
        <v>450</v>
      </c>
      <c r="H121">
        <f t="shared" si="1"/>
        <v>7650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4" workbookViewId="0">
      <selection activeCell="D42" sqref="D4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Sheet8</vt:lpstr>
      <vt:lpstr>Sheet6</vt:lpstr>
      <vt:lpstr>Sheet7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Hardic Singh</dc:creator>
  <cp:lastModifiedBy>Hardic Singh</cp:lastModifiedBy>
  <dcterms:created xsi:type="dcterms:W3CDTF">2025-09-02T15:23:50Z</dcterms:created>
  <dcterms:modified xsi:type="dcterms:W3CDTF">2025-09-09T11:58:24Z</dcterms:modified>
</cp:coreProperties>
</file>